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tings" sheetId="3" state="visible" r:id="rId3"/>
    <sheet name="Inventory" sheetId="4" state="visible" r:id="rId4"/>
    <sheet name="Sales Log" sheetId="5" state="visible" r:id="rId5"/>
    <sheet name="Ad Sp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0A6B4F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Seller Margin Toolkit</t>
        </is>
      </c>
    </row>
    <row r="3">
      <c r="A3" t="inlineStr">
        <is>
          <t>Yellow cells are inputs. Everything else calculates itself.</t>
        </is>
      </c>
    </row>
    <row r="4">
      <c r="A4" t="inlineStr">
        <is>
          <t>1. Settings: enter your marketplace fee rates (check each marketplace's official fee page; defaults are US estimates).</t>
        </is>
      </c>
    </row>
    <row r="5">
      <c r="A5" t="inlineStr">
        <is>
          <t>2. Inventory: list your products and unit costs.</t>
        </is>
      </c>
    </row>
    <row r="6">
      <c r="A6" t="inlineStr">
        <is>
          <t>3. Sales Log: add one row per sale. Fees and profit fill in automatically.</t>
        </is>
      </c>
    </row>
    <row r="7">
      <c r="A7" t="inlineStr">
        <is>
          <t>4. Ad Spend: log ad spend to see return on ad spend (ROAS).</t>
        </is>
      </c>
    </row>
    <row r="8">
      <c r="A8" t="inlineStr">
        <is>
          <t>5. Dashboard: total revenue, fees, profit, margin after ads and a tax set-aside estimate.</t>
        </is>
      </c>
    </row>
    <row r="9">
      <c r="A9" t="inlineStr">
        <is>
          <t>Not financial or tax advice. Tax rate is your own assumption; ask an accountant.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2" t="inlineStr">
        <is>
          <t>Dashboard</t>
        </is>
      </c>
    </row>
    <row r="3">
      <c r="A3" t="inlineStr">
        <is>
          <t>Total revenue</t>
        </is>
      </c>
      <c r="B3" s="3">
        <f>SUMPRODUCT('Sales Log'!E2:E1001,'Sales Log'!D2:D1001)+SUM('Sales Log'!F2:F1001)</f>
        <v/>
      </c>
    </row>
    <row r="4">
      <c r="A4" t="inlineStr">
        <is>
          <t>Total fees</t>
        </is>
      </c>
      <c r="B4" s="3">
        <f>SUM('Sales Log'!I2:I1001)</f>
        <v/>
      </c>
    </row>
    <row r="5">
      <c r="A5" t="inlineStr">
        <is>
          <t>Total net profit</t>
        </is>
      </c>
      <c r="B5" s="3">
        <f>SUM('Sales Log'!J2:J1001)</f>
        <v/>
      </c>
    </row>
    <row r="6">
      <c r="A6" t="inlineStr">
        <is>
          <t>Total ad spend</t>
        </is>
      </c>
      <c r="B6" s="3">
        <f>SUM('Ad Spend'!C2:C61)</f>
        <v/>
      </c>
    </row>
    <row r="7">
      <c r="A7" t="inlineStr">
        <is>
          <t>Profit after ads</t>
        </is>
      </c>
      <c r="B7" s="3">
        <f>B5-B6</f>
        <v/>
      </c>
    </row>
    <row r="8">
      <c r="A8" t="inlineStr">
        <is>
          <t>Margin after ads</t>
        </is>
      </c>
      <c r="B8" s="4">
        <f>IF(B3=0,0,B7/B3)</f>
        <v/>
      </c>
    </row>
    <row r="9">
      <c r="A9" t="inlineStr">
        <is>
          <t>Tax set-aside (see Settings)</t>
        </is>
      </c>
      <c r="B9" s="3">
        <f>MAX(0,B7)*Settings!B8/100</f>
        <v/>
      </c>
    </row>
    <row r="10">
      <c r="A10" t="inlineStr">
        <is>
          <t>Per-quarter set-aside (total ÷ 4, use with a full year of data)</t>
        </is>
      </c>
      <c r="B10" s="3">
        <f>B9/4</f>
        <v/>
      </c>
    </row>
    <row r="12">
      <c r="A12" t="inlineStr">
        <is>
          <t>Items to reorder</t>
        </is>
      </c>
      <c r="B12">
        <f>COUNTIF(Inventory!G2:G201,"REORDER")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12" customWidth="1" min="4" max="4"/>
    <col width="16" customWidth="1" min="5" max="5"/>
    <col width="16" customWidth="1" min="6" max="6"/>
  </cols>
  <sheetData>
    <row r="1">
      <c r="A1" s="5" t="inlineStr">
        <is>
          <t>Marketplace</t>
        </is>
      </c>
      <c r="B1" s="5" t="inlineStr">
        <is>
          <t>Listing fee ($)</t>
        </is>
      </c>
      <c r="C1" s="5" t="inlineStr">
        <is>
          <t>Fee % of item+shipping</t>
        </is>
      </c>
      <c r="D1" s="5" t="inlineStr">
        <is>
          <t xml:space="preserve">Payment % </t>
        </is>
      </c>
      <c r="E1" s="5" t="inlineStr">
        <is>
          <t>Payment fixed ($)</t>
        </is>
      </c>
      <c r="F1" s="5" t="inlineStr">
        <is>
          <t>Per-order fee ($)</t>
        </is>
      </c>
    </row>
    <row r="2">
      <c r="A2" t="inlineStr">
        <is>
          <t>Etsy</t>
        </is>
      </c>
      <c r="B2" s="6" t="n">
        <v>0.2</v>
      </c>
      <c r="C2" s="6" t="n">
        <v>6.5</v>
      </c>
      <c r="D2" s="6" t="n">
        <v>3</v>
      </c>
      <c r="E2" s="6" t="n">
        <v>0.25</v>
      </c>
      <c r="F2" s="6" t="n">
        <v>0</v>
      </c>
    </row>
    <row r="3">
      <c r="A3" t="inlineStr">
        <is>
          <t>eBay</t>
        </is>
      </c>
      <c r="B3" s="6" t="n">
        <v>0</v>
      </c>
      <c r="C3" s="6" t="n">
        <v>13.6</v>
      </c>
      <c r="D3" s="6" t="n">
        <v>0</v>
      </c>
      <c r="E3" s="6" t="n">
        <v>0</v>
      </c>
      <c r="F3" s="6" t="n">
        <v>0.4</v>
      </c>
    </row>
    <row r="4">
      <c r="A4" t="inlineStr">
        <is>
          <t>Amazon</t>
        </is>
      </c>
      <c r="B4" s="6" t="n">
        <v>0</v>
      </c>
      <c r="C4" s="6" t="n">
        <v>15</v>
      </c>
      <c r="D4" s="6" t="n">
        <v>0</v>
      </c>
      <c r="E4" s="6" t="n">
        <v>0</v>
      </c>
      <c r="F4" s="6" t="n">
        <v>0</v>
      </c>
    </row>
    <row r="5">
      <c r="A5" t="inlineStr">
        <is>
          <t>Other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</row>
    <row r="8">
      <c r="A8" t="inlineStr">
        <is>
          <t>Tax set-aside % of profit</t>
        </is>
      </c>
      <c r="B8" s="6" t="n">
        <v>25</v>
      </c>
    </row>
    <row r="9">
      <c r="A9" t="inlineStr">
        <is>
          <t>Fee defaults are estimates (2026-10-19). Verify before relying on them.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0" customWidth="1" min="5" max="5"/>
    <col width="11" customWidth="1" min="6" max="6"/>
    <col width="14" customWidth="1" min="7" max="7"/>
  </cols>
  <sheetData>
    <row r="1">
      <c r="A1" s="5" t="inlineStr">
        <is>
          <t>SKU / Product</t>
        </is>
      </c>
      <c r="B1" s="5" t="inlineStr">
        <is>
          <t>Unit cost ($)</t>
        </is>
      </c>
      <c r="C1" s="5" t="inlineStr">
        <is>
          <t>Qty bought</t>
        </is>
      </c>
      <c r="D1" s="5" t="inlineStr">
        <is>
          <t>Qty sold</t>
        </is>
      </c>
      <c r="E1" s="5" t="inlineStr">
        <is>
          <t>In stock</t>
        </is>
      </c>
      <c r="F1" s="5" t="inlineStr">
        <is>
          <t>Reorder at</t>
        </is>
      </c>
      <c r="G1" s="5" t="inlineStr">
        <is>
          <t>Status</t>
        </is>
      </c>
    </row>
    <row r="2">
      <c r="A2" s="6" t="n"/>
      <c r="B2" s="7" t="n"/>
      <c r="C2" s="6" t="n"/>
      <c r="D2">
        <f>SUMIF('Sales Log'!$B:$B,A2,'Sales Log'!$D:$D)</f>
        <v/>
      </c>
      <c r="E2">
        <f>IF(A2="","",C2-D2)</f>
        <v/>
      </c>
      <c r="F2" s="6" t="n"/>
      <c r="G2">
        <f>IF(A2="","",IF(E2&lt;=F2,"REORDER","OK"))</f>
        <v/>
      </c>
    </row>
    <row r="3">
      <c r="A3" s="6" t="n"/>
      <c r="B3" s="7" t="n"/>
      <c r="C3" s="6" t="n"/>
      <c r="D3">
        <f>SUMIF('Sales Log'!$B:$B,A3,'Sales Log'!$D:$D)</f>
        <v/>
      </c>
      <c r="E3">
        <f>IF(A3="","",C3-D3)</f>
        <v/>
      </c>
      <c r="F3" s="6" t="n"/>
      <c r="G3">
        <f>IF(A3="","",IF(E3&lt;=F3,"REORDER","OK"))</f>
        <v/>
      </c>
    </row>
    <row r="4">
      <c r="A4" s="6" t="n"/>
      <c r="B4" s="7" t="n"/>
      <c r="C4" s="6" t="n"/>
      <c r="D4">
        <f>SUMIF('Sales Log'!$B:$B,A4,'Sales Log'!$D:$D)</f>
        <v/>
      </c>
      <c r="E4">
        <f>IF(A4="","",C4-D4)</f>
        <v/>
      </c>
      <c r="F4" s="6" t="n"/>
      <c r="G4">
        <f>IF(A4="","",IF(E4&lt;=F4,"REORDER","OK"))</f>
        <v/>
      </c>
    </row>
    <row r="5">
      <c r="A5" s="6" t="n"/>
      <c r="B5" s="7" t="n"/>
      <c r="C5" s="6" t="n"/>
      <c r="D5">
        <f>SUMIF('Sales Log'!$B:$B,A5,'Sales Log'!$D:$D)</f>
        <v/>
      </c>
      <c r="E5">
        <f>IF(A5="","",C5-D5)</f>
        <v/>
      </c>
      <c r="F5" s="6" t="n"/>
      <c r="G5">
        <f>IF(A5="","",IF(E5&lt;=F5,"REORDER","OK"))</f>
        <v/>
      </c>
    </row>
    <row r="6">
      <c r="A6" s="6" t="n"/>
      <c r="B6" s="7" t="n"/>
      <c r="C6" s="6" t="n"/>
      <c r="D6">
        <f>SUMIF('Sales Log'!$B:$B,A6,'Sales Log'!$D:$D)</f>
        <v/>
      </c>
      <c r="E6">
        <f>IF(A6="","",C6-D6)</f>
        <v/>
      </c>
      <c r="F6" s="6" t="n"/>
      <c r="G6">
        <f>IF(A6="","",IF(E6&lt;=F6,"REORDER","OK"))</f>
        <v/>
      </c>
    </row>
    <row r="7">
      <c r="A7" s="6" t="n"/>
      <c r="B7" s="7" t="n"/>
      <c r="C7" s="6" t="n"/>
      <c r="D7">
        <f>SUMIF('Sales Log'!$B:$B,A7,'Sales Log'!$D:$D)</f>
        <v/>
      </c>
      <c r="E7">
        <f>IF(A7="","",C7-D7)</f>
        <v/>
      </c>
      <c r="F7" s="6" t="n"/>
      <c r="G7">
        <f>IF(A7="","",IF(E7&lt;=F7,"REORDER","OK"))</f>
        <v/>
      </c>
    </row>
    <row r="8">
      <c r="A8" s="6" t="n"/>
      <c r="B8" s="7" t="n"/>
      <c r="C8" s="6" t="n"/>
      <c r="D8">
        <f>SUMIF('Sales Log'!$B:$B,A8,'Sales Log'!$D:$D)</f>
        <v/>
      </c>
      <c r="E8">
        <f>IF(A8="","",C8-D8)</f>
        <v/>
      </c>
      <c r="F8" s="6" t="n"/>
      <c r="G8">
        <f>IF(A8="","",IF(E8&lt;=F8,"REORDER","OK"))</f>
        <v/>
      </c>
    </row>
    <row r="9">
      <c r="A9" s="6" t="n"/>
      <c r="B9" s="7" t="n"/>
      <c r="C9" s="6" t="n"/>
      <c r="D9">
        <f>SUMIF('Sales Log'!$B:$B,A9,'Sales Log'!$D:$D)</f>
        <v/>
      </c>
      <c r="E9">
        <f>IF(A9="","",C9-D9)</f>
        <v/>
      </c>
      <c r="F9" s="6" t="n"/>
      <c r="G9">
        <f>IF(A9="","",IF(E9&lt;=F9,"REORDER","OK"))</f>
        <v/>
      </c>
    </row>
    <row r="10">
      <c r="A10" s="6" t="n"/>
      <c r="B10" s="7" t="n"/>
      <c r="C10" s="6" t="n"/>
      <c r="D10">
        <f>SUMIF('Sales Log'!$B:$B,A10,'Sales Log'!$D:$D)</f>
        <v/>
      </c>
      <c r="E10">
        <f>IF(A10="","",C10-D10)</f>
        <v/>
      </c>
      <c r="F10" s="6" t="n"/>
      <c r="G10">
        <f>IF(A10="","",IF(E10&lt;=F10,"REORDER","OK"))</f>
        <v/>
      </c>
    </row>
    <row r="11">
      <c r="A11" s="6" t="n"/>
      <c r="B11" s="7" t="n"/>
      <c r="C11" s="6" t="n"/>
      <c r="D11">
        <f>SUMIF('Sales Log'!$B:$B,A11,'Sales Log'!$D:$D)</f>
        <v/>
      </c>
      <c r="E11">
        <f>IF(A11="","",C11-D11)</f>
        <v/>
      </c>
      <c r="F11" s="6" t="n"/>
      <c r="G11">
        <f>IF(A11="","",IF(E11&lt;=F11,"REORDER","OK"))</f>
        <v/>
      </c>
    </row>
    <row r="12">
      <c r="A12" s="6" t="n"/>
      <c r="B12" s="7" t="n"/>
      <c r="C12" s="6" t="n"/>
      <c r="D12">
        <f>SUMIF('Sales Log'!$B:$B,A12,'Sales Log'!$D:$D)</f>
        <v/>
      </c>
      <c r="E12">
        <f>IF(A12="","",C12-D12)</f>
        <v/>
      </c>
      <c r="F12" s="6" t="n"/>
      <c r="G12">
        <f>IF(A12="","",IF(E12&lt;=F12,"REORDER","OK"))</f>
        <v/>
      </c>
    </row>
    <row r="13">
      <c r="A13" s="6" t="n"/>
      <c r="B13" s="7" t="n"/>
      <c r="C13" s="6" t="n"/>
      <c r="D13">
        <f>SUMIF('Sales Log'!$B:$B,A13,'Sales Log'!$D:$D)</f>
        <v/>
      </c>
      <c r="E13">
        <f>IF(A13="","",C13-D13)</f>
        <v/>
      </c>
      <c r="F13" s="6" t="n"/>
      <c r="G13">
        <f>IF(A13="","",IF(E13&lt;=F13,"REORDER","OK"))</f>
        <v/>
      </c>
    </row>
    <row r="14">
      <c r="A14" s="6" t="n"/>
      <c r="B14" s="7" t="n"/>
      <c r="C14" s="6" t="n"/>
      <c r="D14">
        <f>SUMIF('Sales Log'!$B:$B,A14,'Sales Log'!$D:$D)</f>
        <v/>
      </c>
      <c r="E14">
        <f>IF(A14="","",C14-D14)</f>
        <v/>
      </c>
      <c r="F14" s="6" t="n"/>
      <c r="G14">
        <f>IF(A14="","",IF(E14&lt;=F14,"REORDER","OK"))</f>
        <v/>
      </c>
    </row>
    <row r="15">
      <c r="A15" s="6" t="n"/>
      <c r="B15" s="7" t="n"/>
      <c r="C15" s="6" t="n"/>
      <c r="D15">
        <f>SUMIF('Sales Log'!$B:$B,A15,'Sales Log'!$D:$D)</f>
        <v/>
      </c>
      <c r="E15">
        <f>IF(A15="","",C15-D15)</f>
        <v/>
      </c>
      <c r="F15" s="6" t="n"/>
      <c r="G15">
        <f>IF(A15="","",IF(E15&lt;=F15,"REORDER","OK"))</f>
        <v/>
      </c>
    </row>
    <row r="16">
      <c r="A16" s="6" t="n"/>
      <c r="B16" s="7" t="n"/>
      <c r="C16" s="6" t="n"/>
      <c r="D16">
        <f>SUMIF('Sales Log'!$B:$B,A16,'Sales Log'!$D:$D)</f>
        <v/>
      </c>
      <c r="E16">
        <f>IF(A16="","",C16-D16)</f>
        <v/>
      </c>
      <c r="F16" s="6" t="n"/>
      <c r="G16">
        <f>IF(A16="","",IF(E16&lt;=F16,"REORDER","OK"))</f>
        <v/>
      </c>
    </row>
    <row r="17">
      <c r="A17" s="6" t="n"/>
      <c r="B17" s="7" t="n"/>
      <c r="C17" s="6" t="n"/>
      <c r="D17">
        <f>SUMIF('Sales Log'!$B:$B,A17,'Sales Log'!$D:$D)</f>
        <v/>
      </c>
      <c r="E17">
        <f>IF(A17="","",C17-D17)</f>
        <v/>
      </c>
      <c r="F17" s="6" t="n"/>
      <c r="G17">
        <f>IF(A17="","",IF(E17&lt;=F17,"REORDER","OK"))</f>
        <v/>
      </c>
    </row>
    <row r="18">
      <c r="A18" s="6" t="n"/>
      <c r="B18" s="7" t="n"/>
      <c r="C18" s="6" t="n"/>
      <c r="D18">
        <f>SUMIF('Sales Log'!$B:$B,A18,'Sales Log'!$D:$D)</f>
        <v/>
      </c>
      <c r="E18">
        <f>IF(A18="","",C18-D18)</f>
        <v/>
      </c>
      <c r="F18" s="6" t="n"/>
      <c r="G18">
        <f>IF(A18="","",IF(E18&lt;=F18,"REORDER","OK"))</f>
        <v/>
      </c>
    </row>
    <row r="19">
      <c r="A19" s="6" t="n"/>
      <c r="B19" s="7" t="n"/>
      <c r="C19" s="6" t="n"/>
      <c r="D19">
        <f>SUMIF('Sales Log'!$B:$B,A19,'Sales Log'!$D:$D)</f>
        <v/>
      </c>
      <c r="E19">
        <f>IF(A19="","",C19-D19)</f>
        <v/>
      </c>
      <c r="F19" s="6" t="n"/>
      <c r="G19">
        <f>IF(A19="","",IF(E19&lt;=F19,"REORDER","OK"))</f>
        <v/>
      </c>
    </row>
    <row r="20">
      <c r="A20" s="6" t="n"/>
      <c r="B20" s="7" t="n"/>
      <c r="C20" s="6" t="n"/>
      <c r="D20">
        <f>SUMIF('Sales Log'!$B:$B,A20,'Sales Log'!$D:$D)</f>
        <v/>
      </c>
      <c r="E20">
        <f>IF(A20="","",C20-D20)</f>
        <v/>
      </c>
      <c r="F20" s="6" t="n"/>
      <c r="G20">
        <f>IF(A20="","",IF(E20&lt;=F20,"REORDER","OK"))</f>
        <v/>
      </c>
    </row>
    <row r="21">
      <c r="A21" s="6" t="n"/>
      <c r="B21" s="7" t="n"/>
      <c r="C21" s="6" t="n"/>
      <c r="D21">
        <f>SUMIF('Sales Log'!$B:$B,A21,'Sales Log'!$D:$D)</f>
        <v/>
      </c>
      <c r="E21">
        <f>IF(A21="","",C21-D21)</f>
        <v/>
      </c>
      <c r="F21" s="6" t="n"/>
      <c r="G21">
        <f>IF(A21="","",IF(E21&lt;=F21,"REORDER","OK"))</f>
        <v/>
      </c>
    </row>
    <row r="22">
      <c r="A22" s="6" t="n"/>
      <c r="B22" s="7" t="n"/>
      <c r="C22" s="6" t="n"/>
      <c r="D22">
        <f>SUMIF('Sales Log'!$B:$B,A22,'Sales Log'!$D:$D)</f>
        <v/>
      </c>
      <c r="E22">
        <f>IF(A22="","",C22-D22)</f>
        <v/>
      </c>
      <c r="F22" s="6" t="n"/>
      <c r="G22">
        <f>IF(A22="","",IF(E22&lt;=F22,"REORDER","OK"))</f>
        <v/>
      </c>
    </row>
    <row r="23">
      <c r="A23" s="6" t="n"/>
      <c r="B23" s="7" t="n"/>
      <c r="C23" s="6" t="n"/>
      <c r="D23">
        <f>SUMIF('Sales Log'!$B:$B,A23,'Sales Log'!$D:$D)</f>
        <v/>
      </c>
      <c r="E23">
        <f>IF(A23="","",C23-D23)</f>
        <v/>
      </c>
      <c r="F23" s="6" t="n"/>
      <c r="G23">
        <f>IF(A23="","",IF(E23&lt;=F23,"REORDER","OK"))</f>
        <v/>
      </c>
    </row>
    <row r="24">
      <c r="A24" s="6" t="n"/>
      <c r="B24" s="7" t="n"/>
      <c r="C24" s="6" t="n"/>
      <c r="D24">
        <f>SUMIF('Sales Log'!$B:$B,A24,'Sales Log'!$D:$D)</f>
        <v/>
      </c>
      <c r="E24">
        <f>IF(A24="","",C24-D24)</f>
        <v/>
      </c>
      <c r="F24" s="6" t="n"/>
      <c r="G24">
        <f>IF(A24="","",IF(E24&lt;=F24,"REORDER","OK"))</f>
        <v/>
      </c>
    </row>
    <row r="25">
      <c r="A25" s="6" t="n"/>
      <c r="B25" s="7" t="n"/>
      <c r="C25" s="6" t="n"/>
      <c r="D25">
        <f>SUMIF('Sales Log'!$B:$B,A25,'Sales Log'!$D:$D)</f>
        <v/>
      </c>
      <c r="E25">
        <f>IF(A25="","",C25-D25)</f>
        <v/>
      </c>
      <c r="F25" s="6" t="n"/>
      <c r="G25">
        <f>IF(A25="","",IF(E25&lt;=F25,"REORDER","OK"))</f>
        <v/>
      </c>
    </row>
    <row r="26">
      <c r="A26" s="6" t="n"/>
      <c r="B26" s="7" t="n"/>
      <c r="C26" s="6" t="n"/>
      <c r="D26">
        <f>SUMIF('Sales Log'!$B:$B,A26,'Sales Log'!$D:$D)</f>
        <v/>
      </c>
      <c r="E26">
        <f>IF(A26="","",C26-D26)</f>
        <v/>
      </c>
      <c r="F26" s="6" t="n"/>
      <c r="G26">
        <f>IF(A26="","",IF(E26&lt;=F26,"REORDER","OK"))</f>
        <v/>
      </c>
    </row>
    <row r="27">
      <c r="A27" s="6" t="n"/>
      <c r="B27" s="7" t="n"/>
      <c r="C27" s="6" t="n"/>
      <c r="D27">
        <f>SUMIF('Sales Log'!$B:$B,A27,'Sales Log'!$D:$D)</f>
        <v/>
      </c>
      <c r="E27">
        <f>IF(A27="","",C27-D27)</f>
        <v/>
      </c>
      <c r="F27" s="6" t="n"/>
      <c r="G27">
        <f>IF(A27="","",IF(E27&lt;=F27,"REORDER","OK"))</f>
        <v/>
      </c>
    </row>
    <row r="28">
      <c r="A28" s="6" t="n"/>
      <c r="B28" s="7" t="n"/>
      <c r="C28" s="6" t="n"/>
      <c r="D28">
        <f>SUMIF('Sales Log'!$B:$B,A28,'Sales Log'!$D:$D)</f>
        <v/>
      </c>
      <c r="E28">
        <f>IF(A28="","",C28-D28)</f>
        <v/>
      </c>
      <c r="F28" s="6" t="n"/>
      <c r="G28">
        <f>IF(A28="","",IF(E28&lt;=F28,"REORDER","OK"))</f>
        <v/>
      </c>
    </row>
    <row r="29">
      <c r="A29" s="6" t="n"/>
      <c r="B29" s="7" t="n"/>
      <c r="C29" s="6" t="n"/>
      <c r="D29">
        <f>SUMIF('Sales Log'!$B:$B,A29,'Sales Log'!$D:$D)</f>
        <v/>
      </c>
      <c r="E29">
        <f>IF(A29="","",C29-D29)</f>
        <v/>
      </c>
      <c r="F29" s="6" t="n"/>
      <c r="G29">
        <f>IF(A29="","",IF(E29&lt;=F29,"REORDER","OK"))</f>
        <v/>
      </c>
    </row>
    <row r="30">
      <c r="A30" s="6" t="n"/>
      <c r="B30" s="7" t="n"/>
      <c r="C30" s="6" t="n"/>
      <c r="D30">
        <f>SUMIF('Sales Log'!$B:$B,A30,'Sales Log'!$D:$D)</f>
        <v/>
      </c>
      <c r="E30">
        <f>IF(A30="","",C30-D30)</f>
        <v/>
      </c>
      <c r="F30" s="6" t="n"/>
      <c r="G30">
        <f>IF(A30="","",IF(E30&lt;=F30,"REORDER","OK"))</f>
        <v/>
      </c>
    </row>
    <row r="31">
      <c r="A31" s="6" t="n"/>
      <c r="B31" s="7" t="n"/>
      <c r="C31" s="6" t="n"/>
      <c r="D31">
        <f>SUMIF('Sales Log'!$B:$B,A31,'Sales Log'!$D:$D)</f>
        <v/>
      </c>
      <c r="E31">
        <f>IF(A31="","",C31-D31)</f>
        <v/>
      </c>
      <c r="F31" s="6" t="n"/>
      <c r="G31">
        <f>IF(A31="","",IF(E31&lt;=F31,"REORDER","OK"))</f>
        <v/>
      </c>
    </row>
    <row r="32">
      <c r="A32" s="6" t="n"/>
      <c r="B32" s="7" t="n"/>
      <c r="C32" s="6" t="n"/>
      <c r="D32">
        <f>SUMIF('Sales Log'!$B:$B,A32,'Sales Log'!$D:$D)</f>
        <v/>
      </c>
      <c r="E32">
        <f>IF(A32="","",C32-D32)</f>
        <v/>
      </c>
      <c r="F32" s="6" t="n"/>
      <c r="G32">
        <f>IF(A32="","",IF(E32&lt;=F32,"REORDER","OK"))</f>
        <v/>
      </c>
    </row>
    <row r="33">
      <c r="A33" s="6" t="n"/>
      <c r="B33" s="7" t="n"/>
      <c r="C33" s="6" t="n"/>
      <c r="D33">
        <f>SUMIF('Sales Log'!$B:$B,A33,'Sales Log'!$D:$D)</f>
        <v/>
      </c>
      <c r="E33">
        <f>IF(A33="","",C33-D33)</f>
        <v/>
      </c>
      <c r="F33" s="6" t="n"/>
      <c r="G33">
        <f>IF(A33="","",IF(E33&lt;=F33,"REORDER","OK"))</f>
        <v/>
      </c>
    </row>
    <row r="34">
      <c r="A34" s="6" t="n"/>
      <c r="B34" s="7" t="n"/>
      <c r="C34" s="6" t="n"/>
      <c r="D34">
        <f>SUMIF('Sales Log'!$B:$B,A34,'Sales Log'!$D:$D)</f>
        <v/>
      </c>
      <c r="E34">
        <f>IF(A34="","",C34-D34)</f>
        <v/>
      </c>
      <c r="F34" s="6" t="n"/>
      <c r="G34">
        <f>IF(A34="","",IF(E34&lt;=F34,"REORDER","OK"))</f>
        <v/>
      </c>
    </row>
    <row r="35">
      <c r="A35" s="6" t="n"/>
      <c r="B35" s="7" t="n"/>
      <c r="C35" s="6" t="n"/>
      <c r="D35">
        <f>SUMIF('Sales Log'!$B:$B,A35,'Sales Log'!$D:$D)</f>
        <v/>
      </c>
      <c r="E35">
        <f>IF(A35="","",C35-D35)</f>
        <v/>
      </c>
      <c r="F35" s="6" t="n"/>
      <c r="G35">
        <f>IF(A35="","",IF(E35&lt;=F35,"REORDER","OK"))</f>
        <v/>
      </c>
    </row>
    <row r="36">
      <c r="A36" s="6" t="n"/>
      <c r="B36" s="7" t="n"/>
      <c r="C36" s="6" t="n"/>
      <c r="D36">
        <f>SUMIF('Sales Log'!$B:$B,A36,'Sales Log'!$D:$D)</f>
        <v/>
      </c>
      <c r="E36">
        <f>IF(A36="","",C36-D36)</f>
        <v/>
      </c>
      <c r="F36" s="6" t="n"/>
      <c r="G36">
        <f>IF(A36="","",IF(E36&lt;=F36,"REORDER","OK"))</f>
        <v/>
      </c>
    </row>
    <row r="37">
      <c r="A37" s="6" t="n"/>
      <c r="B37" s="7" t="n"/>
      <c r="C37" s="6" t="n"/>
      <c r="D37">
        <f>SUMIF('Sales Log'!$B:$B,A37,'Sales Log'!$D:$D)</f>
        <v/>
      </c>
      <c r="E37">
        <f>IF(A37="","",C37-D37)</f>
        <v/>
      </c>
      <c r="F37" s="6" t="n"/>
      <c r="G37">
        <f>IF(A37="","",IF(E37&lt;=F37,"REORDER","OK"))</f>
        <v/>
      </c>
    </row>
    <row r="38">
      <c r="A38" s="6" t="n"/>
      <c r="B38" s="7" t="n"/>
      <c r="C38" s="6" t="n"/>
      <c r="D38">
        <f>SUMIF('Sales Log'!$B:$B,A38,'Sales Log'!$D:$D)</f>
        <v/>
      </c>
      <c r="E38">
        <f>IF(A38="","",C38-D38)</f>
        <v/>
      </c>
      <c r="F38" s="6" t="n"/>
      <c r="G38">
        <f>IF(A38="","",IF(E38&lt;=F38,"REORDER","OK"))</f>
        <v/>
      </c>
    </row>
    <row r="39">
      <c r="A39" s="6" t="n"/>
      <c r="B39" s="7" t="n"/>
      <c r="C39" s="6" t="n"/>
      <c r="D39">
        <f>SUMIF('Sales Log'!$B:$B,A39,'Sales Log'!$D:$D)</f>
        <v/>
      </c>
      <c r="E39">
        <f>IF(A39="","",C39-D39)</f>
        <v/>
      </c>
      <c r="F39" s="6" t="n"/>
      <c r="G39">
        <f>IF(A39="","",IF(E39&lt;=F39,"REORDER","OK"))</f>
        <v/>
      </c>
    </row>
    <row r="40">
      <c r="A40" s="6" t="n"/>
      <c r="B40" s="7" t="n"/>
      <c r="C40" s="6" t="n"/>
      <c r="D40">
        <f>SUMIF('Sales Log'!$B:$B,A40,'Sales Log'!$D:$D)</f>
        <v/>
      </c>
      <c r="E40">
        <f>IF(A40="","",C40-D40)</f>
        <v/>
      </c>
      <c r="F40" s="6" t="n"/>
      <c r="G40">
        <f>IF(A40="","",IF(E40&lt;=F40,"REORDER","OK"))</f>
        <v/>
      </c>
    </row>
    <row r="41">
      <c r="A41" s="6" t="n"/>
      <c r="B41" s="7" t="n"/>
      <c r="C41" s="6" t="n"/>
      <c r="D41">
        <f>SUMIF('Sales Log'!$B:$B,A41,'Sales Log'!$D:$D)</f>
        <v/>
      </c>
      <c r="E41">
        <f>IF(A41="","",C41-D41)</f>
        <v/>
      </c>
      <c r="F41" s="6" t="n"/>
      <c r="G41">
        <f>IF(A41="","",IF(E41&lt;=F41,"REORDER","OK"))</f>
        <v/>
      </c>
    </row>
    <row r="42">
      <c r="A42" s="6" t="n"/>
      <c r="B42" s="7" t="n"/>
      <c r="C42" s="6" t="n"/>
      <c r="D42">
        <f>SUMIF('Sales Log'!$B:$B,A42,'Sales Log'!$D:$D)</f>
        <v/>
      </c>
      <c r="E42">
        <f>IF(A42="","",C42-D42)</f>
        <v/>
      </c>
      <c r="F42" s="6" t="n"/>
      <c r="G42">
        <f>IF(A42="","",IF(E42&lt;=F42,"REORDER","OK"))</f>
        <v/>
      </c>
    </row>
    <row r="43">
      <c r="A43" s="6" t="n"/>
      <c r="B43" s="7" t="n"/>
      <c r="C43" s="6" t="n"/>
      <c r="D43">
        <f>SUMIF('Sales Log'!$B:$B,A43,'Sales Log'!$D:$D)</f>
        <v/>
      </c>
      <c r="E43">
        <f>IF(A43="","",C43-D43)</f>
        <v/>
      </c>
      <c r="F43" s="6" t="n"/>
      <c r="G43">
        <f>IF(A43="","",IF(E43&lt;=F43,"REORDER","OK"))</f>
        <v/>
      </c>
    </row>
    <row r="44">
      <c r="A44" s="6" t="n"/>
      <c r="B44" s="7" t="n"/>
      <c r="C44" s="6" t="n"/>
      <c r="D44">
        <f>SUMIF('Sales Log'!$B:$B,A44,'Sales Log'!$D:$D)</f>
        <v/>
      </c>
      <c r="E44">
        <f>IF(A44="","",C44-D44)</f>
        <v/>
      </c>
      <c r="F44" s="6" t="n"/>
      <c r="G44">
        <f>IF(A44="","",IF(E44&lt;=F44,"REORDER","OK"))</f>
        <v/>
      </c>
    </row>
    <row r="45">
      <c r="A45" s="6" t="n"/>
      <c r="B45" s="7" t="n"/>
      <c r="C45" s="6" t="n"/>
      <c r="D45">
        <f>SUMIF('Sales Log'!$B:$B,A45,'Sales Log'!$D:$D)</f>
        <v/>
      </c>
      <c r="E45">
        <f>IF(A45="","",C45-D45)</f>
        <v/>
      </c>
      <c r="F45" s="6" t="n"/>
      <c r="G45">
        <f>IF(A45="","",IF(E45&lt;=F45,"REORDER","OK"))</f>
        <v/>
      </c>
    </row>
    <row r="46">
      <c r="A46" s="6" t="n"/>
      <c r="B46" s="7" t="n"/>
      <c r="C46" s="6" t="n"/>
      <c r="D46">
        <f>SUMIF('Sales Log'!$B:$B,A46,'Sales Log'!$D:$D)</f>
        <v/>
      </c>
      <c r="E46">
        <f>IF(A46="","",C46-D46)</f>
        <v/>
      </c>
      <c r="F46" s="6" t="n"/>
      <c r="G46">
        <f>IF(A46="","",IF(E46&lt;=F46,"REORDER","OK"))</f>
        <v/>
      </c>
    </row>
    <row r="47">
      <c r="A47" s="6" t="n"/>
      <c r="B47" s="7" t="n"/>
      <c r="C47" s="6" t="n"/>
      <c r="D47">
        <f>SUMIF('Sales Log'!$B:$B,A47,'Sales Log'!$D:$D)</f>
        <v/>
      </c>
      <c r="E47">
        <f>IF(A47="","",C47-D47)</f>
        <v/>
      </c>
      <c r="F47" s="6" t="n"/>
      <c r="G47">
        <f>IF(A47="","",IF(E47&lt;=F47,"REORDER","OK"))</f>
        <v/>
      </c>
    </row>
    <row r="48">
      <c r="A48" s="6" t="n"/>
      <c r="B48" s="7" t="n"/>
      <c r="C48" s="6" t="n"/>
      <c r="D48">
        <f>SUMIF('Sales Log'!$B:$B,A48,'Sales Log'!$D:$D)</f>
        <v/>
      </c>
      <c r="E48">
        <f>IF(A48="","",C48-D48)</f>
        <v/>
      </c>
      <c r="F48" s="6" t="n"/>
      <c r="G48">
        <f>IF(A48="","",IF(E48&lt;=F48,"REORDER","OK"))</f>
        <v/>
      </c>
    </row>
    <row r="49">
      <c r="A49" s="6" t="n"/>
      <c r="B49" s="7" t="n"/>
      <c r="C49" s="6" t="n"/>
      <c r="D49">
        <f>SUMIF('Sales Log'!$B:$B,A49,'Sales Log'!$D:$D)</f>
        <v/>
      </c>
      <c r="E49">
        <f>IF(A49="","",C49-D49)</f>
        <v/>
      </c>
      <c r="F49" s="6" t="n"/>
      <c r="G49">
        <f>IF(A49="","",IF(E49&lt;=F49,"REORDER","OK"))</f>
        <v/>
      </c>
    </row>
    <row r="50">
      <c r="A50" s="6" t="n"/>
      <c r="B50" s="7" t="n"/>
      <c r="C50" s="6" t="n"/>
      <c r="D50">
        <f>SUMIF('Sales Log'!$B:$B,A50,'Sales Log'!$D:$D)</f>
        <v/>
      </c>
      <c r="E50">
        <f>IF(A50="","",C50-D50)</f>
        <v/>
      </c>
      <c r="F50" s="6" t="n"/>
      <c r="G50">
        <f>IF(A50="","",IF(E50&lt;=F50,"REORDER","OK"))</f>
        <v/>
      </c>
    </row>
    <row r="51">
      <c r="A51" s="6" t="n"/>
      <c r="B51" s="7" t="n"/>
      <c r="C51" s="6" t="n"/>
      <c r="D51">
        <f>SUMIF('Sales Log'!$B:$B,A51,'Sales Log'!$D:$D)</f>
        <v/>
      </c>
      <c r="E51">
        <f>IF(A51="","",C51-D51)</f>
        <v/>
      </c>
      <c r="F51" s="6" t="n"/>
      <c r="G51">
        <f>IF(A51="","",IF(E51&lt;=F51,"REORDER","OK"))</f>
        <v/>
      </c>
    </row>
    <row r="52">
      <c r="A52" s="6" t="n"/>
      <c r="B52" s="7" t="n"/>
      <c r="C52" s="6" t="n"/>
      <c r="D52">
        <f>SUMIF('Sales Log'!$B:$B,A52,'Sales Log'!$D:$D)</f>
        <v/>
      </c>
      <c r="E52">
        <f>IF(A52="","",C52-D52)</f>
        <v/>
      </c>
      <c r="F52" s="6" t="n"/>
      <c r="G52">
        <f>IF(A52="","",IF(E52&lt;=F52,"REORDER","OK"))</f>
        <v/>
      </c>
    </row>
    <row r="53">
      <c r="A53" s="6" t="n"/>
      <c r="B53" s="7" t="n"/>
      <c r="C53" s="6" t="n"/>
      <c r="D53">
        <f>SUMIF('Sales Log'!$B:$B,A53,'Sales Log'!$D:$D)</f>
        <v/>
      </c>
      <c r="E53">
        <f>IF(A53="","",C53-D53)</f>
        <v/>
      </c>
      <c r="F53" s="6" t="n"/>
      <c r="G53">
        <f>IF(A53="","",IF(E53&lt;=F53,"REORDER","OK"))</f>
        <v/>
      </c>
    </row>
    <row r="54">
      <c r="A54" s="6" t="n"/>
      <c r="B54" s="7" t="n"/>
      <c r="C54" s="6" t="n"/>
      <c r="D54">
        <f>SUMIF('Sales Log'!$B:$B,A54,'Sales Log'!$D:$D)</f>
        <v/>
      </c>
      <c r="E54">
        <f>IF(A54="","",C54-D54)</f>
        <v/>
      </c>
      <c r="F54" s="6" t="n"/>
      <c r="G54">
        <f>IF(A54="","",IF(E54&lt;=F54,"REORDER","OK"))</f>
        <v/>
      </c>
    </row>
    <row r="55">
      <c r="A55" s="6" t="n"/>
      <c r="B55" s="7" t="n"/>
      <c r="C55" s="6" t="n"/>
      <c r="D55">
        <f>SUMIF('Sales Log'!$B:$B,A55,'Sales Log'!$D:$D)</f>
        <v/>
      </c>
      <c r="E55">
        <f>IF(A55="","",C55-D55)</f>
        <v/>
      </c>
      <c r="F55" s="6" t="n"/>
      <c r="G55">
        <f>IF(A55="","",IF(E55&lt;=F55,"REORDER","OK"))</f>
        <v/>
      </c>
    </row>
    <row r="56">
      <c r="A56" s="6" t="n"/>
      <c r="B56" s="7" t="n"/>
      <c r="C56" s="6" t="n"/>
      <c r="D56">
        <f>SUMIF('Sales Log'!$B:$B,A56,'Sales Log'!$D:$D)</f>
        <v/>
      </c>
      <c r="E56">
        <f>IF(A56="","",C56-D56)</f>
        <v/>
      </c>
      <c r="F56" s="6" t="n"/>
      <c r="G56">
        <f>IF(A56="","",IF(E56&lt;=F56,"REORDER","OK"))</f>
        <v/>
      </c>
    </row>
    <row r="57">
      <c r="A57" s="6" t="n"/>
      <c r="B57" s="7" t="n"/>
      <c r="C57" s="6" t="n"/>
      <c r="D57">
        <f>SUMIF('Sales Log'!$B:$B,A57,'Sales Log'!$D:$D)</f>
        <v/>
      </c>
      <c r="E57">
        <f>IF(A57="","",C57-D57)</f>
        <v/>
      </c>
      <c r="F57" s="6" t="n"/>
      <c r="G57">
        <f>IF(A57="","",IF(E57&lt;=F57,"REORDER","OK"))</f>
        <v/>
      </c>
    </row>
    <row r="58">
      <c r="A58" s="6" t="n"/>
      <c r="B58" s="7" t="n"/>
      <c r="C58" s="6" t="n"/>
      <c r="D58">
        <f>SUMIF('Sales Log'!$B:$B,A58,'Sales Log'!$D:$D)</f>
        <v/>
      </c>
      <c r="E58">
        <f>IF(A58="","",C58-D58)</f>
        <v/>
      </c>
      <c r="F58" s="6" t="n"/>
      <c r="G58">
        <f>IF(A58="","",IF(E58&lt;=F58,"REORDER","OK"))</f>
        <v/>
      </c>
    </row>
    <row r="59">
      <c r="A59" s="6" t="n"/>
      <c r="B59" s="7" t="n"/>
      <c r="C59" s="6" t="n"/>
      <c r="D59">
        <f>SUMIF('Sales Log'!$B:$B,A59,'Sales Log'!$D:$D)</f>
        <v/>
      </c>
      <c r="E59">
        <f>IF(A59="","",C59-D59)</f>
        <v/>
      </c>
      <c r="F59" s="6" t="n"/>
      <c r="G59">
        <f>IF(A59="","",IF(E59&lt;=F59,"REORDER","OK"))</f>
        <v/>
      </c>
    </row>
    <row r="60">
      <c r="A60" s="6" t="n"/>
      <c r="B60" s="7" t="n"/>
      <c r="C60" s="6" t="n"/>
      <c r="D60">
        <f>SUMIF('Sales Log'!$B:$B,A60,'Sales Log'!$D:$D)</f>
        <v/>
      </c>
      <c r="E60">
        <f>IF(A60="","",C60-D60)</f>
        <v/>
      </c>
      <c r="F60" s="6" t="n"/>
      <c r="G60">
        <f>IF(A60="","",IF(E60&lt;=F60,"REORDER","OK"))</f>
        <v/>
      </c>
    </row>
    <row r="61">
      <c r="A61" s="6" t="n"/>
      <c r="B61" s="7" t="n"/>
      <c r="C61" s="6" t="n"/>
      <c r="D61">
        <f>SUMIF('Sales Log'!$B:$B,A61,'Sales Log'!$D:$D)</f>
        <v/>
      </c>
      <c r="E61">
        <f>IF(A61="","",C61-D61)</f>
        <v/>
      </c>
      <c r="F61" s="6" t="n"/>
      <c r="G61">
        <f>IF(A61="","",IF(E61&lt;=F61,"REORDER","OK"))</f>
        <v/>
      </c>
    </row>
    <row r="62">
      <c r="A62" s="6" t="n"/>
      <c r="B62" s="7" t="n"/>
      <c r="C62" s="6" t="n"/>
      <c r="D62">
        <f>SUMIF('Sales Log'!$B:$B,A62,'Sales Log'!$D:$D)</f>
        <v/>
      </c>
      <c r="E62">
        <f>IF(A62="","",C62-D62)</f>
        <v/>
      </c>
      <c r="F62" s="6" t="n"/>
      <c r="G62">
        <f>IF(A62="","",IF(E62&lt;=F62,"REORDER","OK"))</f>
        <v/>
      </c>
    </row>
    <row r="63">
      <c r="A63" s="6" t="n"/>
      <c r="B63" s="7" t="n"/>
      <c r="C63" s="6" t="n"/>
      <c r="D63">
        <f>SUMIF('Sales Log'!$B:$B,A63,'Sales Log'!$D:$D)</f>
        <v/>
      </c>
      <c r="E63">
        <f>IF(A63="","",C63-D63)</f>
        <v/>
      </c>
      <c r="F63" s="6" t="n"/>
      <c r="G63">
        <f>IF(A63="","",IF(E63&lt;=F63,"REORDER","OK"))</f>
        <v/>
      </c>
    </row>
    <row r="64">
      <c r="A64" s="6" t="n"/>
      <c r="B64" s="7" t="n"/>
      <c r="C64" s="6" t="n"/>
      <c r="D64">
        <f>SUMIF('Sales Log'!$B:$B,A64,'Sales Log'!$D:$D)</f>
        <v/>
      </c>
      <c r="E64">
        <f>IF(A64="","",C64-D64)</f>
        <v/>
      </c>
      <c r="F64" s="6" t="n"/>
      <c r="G64">
        <f>IF(A64="","",IF(E64&lt;=F64,"REORDER","OK"))</f>
        <v/>
      </c>
    </row>
    <row r="65">
      <c r="A65" s="6" t="n"/>
      <c r="B65" s="7" t="n"/>
      <c r="C65" s="6" t="n"/>
      <c r="D65">
        <f>SUMIF('Sales Log'!$B:$B,A65,'Sales Log'!$D:$D)</f>
        <v/>
      </c>
      <c r="E65">
        <f>IF(A65="","",C65-D65)</f>
        <v/>
      </c>
      <c r="F65" s="6" t="n"/>
      <c r="G65">
        <f>IF(A65="","",IF(E65&lt;=F65,"REORDER","OK"))</f>
        <v/>
      </c>
    </row>
    <row r="66">
      <c r="A66" s="6" t="n"/>
      <c r="B66" s="7" t="n"/>
      <c r="C66" s="6" t="n"/>
      <c r="D66">
        <f>SUMIF('Sales Log'!$B:$B,A66,'Sales Log'!$D:$D)</f>
        <v/>
      </c>
      <c r="E66">
        <f>IF(A66="","",C66-D66)</f>
        <v/>
      </c>
      <c r="F66" s="6" t="n"/>
      <c r="G66">
        <f>IF(A66="","",IF(E66&lt;=F66,"REORDER","OK"))</f>
        <v/>
      </c>
    </row>
    <row r="67">
      <c r="A67" s="6" t="n"/>
      <c r="B67" s="7" t="n"/>
      <c r="C67" s="6" t="n"/>
      <c r="D67">
        <f>SUMIF('Sales Log'!$B:$B,A67,'Sales Log'!$D:$D)</f>
        <v/>
      </c>
      <c r="E67">
        <f>IF(A67="","",C67-D67)</f>
        <v/>
      </c>
      <c r="F67" s="6" t="n"/>
      <c r="G67">
        <f>IF(A67="","",IF(E67&lt;=F67,"REORDER","OK"))</f>
        <v/>
      </c>
    </row>
    <row r="68">
      <c r="A68" s="6" t="n"/>
      <c r="B68" s="7" t="n"/>
      <c r="C68" s="6" t="n"/>
      <c r="D68">
        <f>SUMIF('Sales Log'!$B:$B,A68,'Sales Log'!$D:$D)</f>
        <v/>
      </c>
      <c r="E68">
        <f>IF(A68="","",C68-D68)</f>
        <v/>
      </c>
      <c r="F68" s="6" t="n"/>
      <c r="G68">
        <f>IF(A68="","",IF(E68&lt;=F68,"REORDER","OK"))</f>
        <v/>
      </c>
    </row>
    <row r="69">
      <c r="A69" s="6" t="n"/>
      <c r="B69" s="7" t="n"/>
      <c r="C69" s="6" t="n"/>
      <c r="D69">
        <f>SUMIF('Sales Log'!$B:$B,A69,'Sales Log'!$D:$D)</f>
        <v/>
      </c>
      <c r="E69">
        <f>IF(A69="","",C69-D69)</f>
        <v/>
      </c>
      <c r="F69" s="6" t="n"/>
      <c r="G69">
        <f>IF(A69="","",IF(E69&lt;=F69,"REORDER","OK"))</f>
        <v/>
      </c>
    </row>
    <row r="70">
      <c r="A70" s="6" t="n"/>
      <c r="B70" s="7" t="n"/>
      <c r="C70" s="6" t="n"/>
      <c r="D70">
        <f>SUMIF('Sales Log'!$B:$B,A70,'Sales Log'!$D:$D)</f>
        <v/>
      </c>
      <c r="E70">
        <f>IF(A70="","",C70-D70)</f>
        <v/>
      </c>
      <c r="F70" s="6" t="n"/>
      <c r="G70">
        <f>IF(A70="","",IF(E70&lt;=F70,"REORDER","OK"))</f>
        <v/>
      </c>
    </row>
    <row r="71">
      <c r="A71" s="6" t="n"/>
      <c r="B71" s="7" t="n"/>
      <c r="C71" s="6" t="n"/>
      <c r="D71">
        <f>SUMIF('Sales Log'!$B:$B,A71,'Sales Log'!$D:$D)</f>
        <v/>
      </c>
      <c r="E71">
        <f>IF(A71="","",C71-D71)</f>
        <v/>
      </c>
      <c r="F71" s="6" t="n"/>
      <c r="G71">
        <f>IF(A71="","",IF(E71&lt;=F71,"REORDER","OK"))</f>
        <v/>
      </c>
    </row>
    <row r="72">
      <c r="A72" s="6" t="n"/>
      <c r="B72" s="7" t="n"/>
      <c r="C72" s="6" t="n"/>
      <c r="D72">
        <f>SUMIF('Sales Log'!$B:$B,A72,'Sales Log'!$D:$D)</f>
        <v/>
      </c>
      <c r="E72">
        <f>IF(A72="","",C72-D72)</f>
        <v/>
      </c>
      <c r="F72" s="6" t="n"/>
      <c r="G72">
        <f>IF(A72="","",IF(E72&lt;=F72,"REORDER","OK"))</f>
        <v/>
      </c>
    </row>
    <row r="73">
      <c r="A73" s="6" t="n"/>
      <c r="B73" s="7" t="n"/>
      <c r="C73" s="6" t="n"/>
      <c r="D73">
        <f>SUMIF('Sales Log'!$B:$B,A73,'Sales Log'!$D:$D)</f>
        <v/>
      </c>
      <c r="E73">
        <f>IF(A73="","",C73-D73)</f>
        <v/>
      </c>
      <c r="F73" s="6" t="n"/>
      <c r="G73">
        <f>IF(A73="","",IF(E73&lt;=F73,"REORDER","OK"))</f>
        <v/>
      </c>
    </row>
    <row r="74">
      <c r="A74" s="6" t="n"/>
      <c r="B74" s="7" t="n"/>
      <c r="C74" s="6" t="n"/>
      <c r="D74">
        <f>SUMIF('Sales Log'!$B:$B,A74,'Sales Log'!$D:$D)</f>
        <v/>
      </c>
      <c r="E74">
        <f>IF(A74="","",C74-D74)</f>
        <v/>
      </c>
      <c r="F74" s="6" t="n"/>
      <c r="G74">
        <f>IF(A74="","",IF(E74&lt;=F74,"REORDER","OK"))</f>
        <v/>
      </c>
    </row>
    <row r="75">
      <c r="A75" s="6" t="n"/>
      <c r="B75" s="7" t="n"/>
      <c r="C75" s="6" t="n"/>
      <c r="D75">
        <f>SUMIF('Sales Log'!$B:$B,A75,'Sales Log'!$D:$D)</f>
        <v/>
      </c>
      <c r="E75">
        <f>IF(A75="","",C75-D75)</f>
        <v/>
      </c>
      <c r="F75" s="6" t="n"/>
      <c r="G75">
        <f>IF(A75="","",IF(E75&lt;=F75,"REORDER","OK"))</f>
        <v/>
      </c>
    </row>
    <row r="76">
      <c r="A76" s="6" t="n"/>
      <c r="B76" s="7" t="n"/>
      <c r="C76" s="6" t="n"/>
      <c r="D76">
        <f>SUMIF('Sales Log'!$B:$B,A76,'Sales Log'!$D:$D)</f>
        <v/>
      </c>
      <c r="E76">
        <f>IF(A76="","",C76-D76)</f>
        <v/>
      </c>
      <c r="F76" s="6" t="n"/>
      <c r="G76">
        <f>IF(A76="","",IF(E76&lt;=F76,"REORDER","OK"))</f>
        <v/>
      </c>
    </row>
    <row r="77">
      <c r="A77" s="6" t="n"/>
      <c r="B77" s="7" t="n"/>
      <c r="C77" s="6" t="n"/>
      <c r="D77">
        <f>SUMIF('Sales Log'!$B:$B,A77,'Sales Log'!$D:$D)</f>
        <v/>
      </c>
      <c r="E77">
        <f>IF(A77="","",C77-D77)</f>
        <v/>
      </c>
      <c r="F77" s="6" t="n"/>
      <c r="G77">
        <f>IF(A77="","",IF(E77&lt;=F77,"REORDER","OK"))</f>
        <v/>
      </c>
    </row>
    <row r="78">
      <c r="A78" s="6" t="n"/>
      <c r="B78" s="7" t="n"/>
      <c r="C78" s="6" t="n"/>
      <c r="D78">
        <f>SUMIF('Sales Log'!$B:$B,A78,'Sales Log'!$D:$D)</f>
        <v/>
      </c>
      <c r="E78">
        <f>IF(A78="","",C78-D78)</f>
        <v/>
      </c>
      <c r="F78" s="6" t="n"/>
      <c r="G78">
        <f>IF(A78="","",IF(E78&lt;=F78,"REORDER","OK"))</f>
        <v/>
      </c>
    </row>
    <row r="79">
      <c r="A79" s="6" t="n"/>
      <c r="B79" s="7" t="n"/>
      <c r="C79" s="6" t="n"/>
      <c r="D79">
        <f>SUMIF('Sales Log'!$B:$B,A79,'Sales Log'!$D:$D)</f>
        <v/>
      </c>
      <c r="E79">
        <f>IF(A79="","",C79-D79)</f>
        <v/>
      </c>
      <c r="F79" s="6" t="n"/>
      <c r="G79">
        <f>IF(A79="","",IF(E79&lt;=F79,"REORDER","OK"))</f>
        <v/>
      </c>
    </row>
    <row r="80">
      <c r="A80" s="6" t="n"/>
      <c r="B80" s="7" t="n"/>
      <c r="C80" s="6" t="n"/>
      <c r="D80">
        <f>SUMIF('Sales Log'!$B:$B,A80,'Sales Log'!$D:$D)</f>
        <v/>
      </c>
      <c r="E80">
        <f>IF(A80="","",C80-D80)</f>
        <v/>
      </c>
      <c r="F80" s="6" t="n"/>
      <c r="G80">
        <f>IF(A80="","",IF(E80&lt;=F80,"REORDER","OK"))</f>
        <v/>
      </c>
    </row>
    <row r="81">
      <c r="A81" s="6" t="n"/>
      <c r="B81" s="7" t="n"/>
      <c r="C81" s="6" t="n"/>
      <c r="D81">
        <f>SUMIF('Sales Log'!$B:$B,A81,'Sales Log'!$D:$D)</f>
        <v/>
      </c>
      <c r="E81">
        <f>IF(A81="","",C81-D81)</f>
        <v/>
      </c>
      <c r="F81" s="6" t="n"/>
      <c r="G81">
        <f>IF(A81="","",IF(E81&lt;=F81,"REORDER","OK"))</f>
        <v/>
      </c>
    </row>
    <row r="82">
      <c r="A82" s="6" t="n"/>
      <c r="B82" s="7" t="n"/>
      <c r="C82" s="6" t="n"/>
      <c r="D82">
        <f>SUMIF('Sales Log'!$B:$B,A82,'Sales Log'!$D:$D)</f>
        <v/>
      </c>
      <c r="E82">
        <f>IF(A82="","",C82-D82)</f>
        <v/>
      </c>
      <c r="F82" s="6" t="n"/>
      <c r="G82">
        <f>IF(A82="","",IF(E82&lt;=F82,"REORDER","OK"))</f>
        <v/>
      </c>
    </row>
    <row r="83">
      <c r="A83" s="6" t="n"/>
      <c r="B83" s="7" t="n"/>
      <c r="C83" s="6" t="n"/>
      <c r="D83">
        <f>SUMIF('Sales Log'!$B:$B,A83,'Sales Log'!$D:$D)</f>
        <v/>
      </c>
      <c r="E83">
        <f>IF(A83="","",C83-D83)</f>
        <v/>
      </c>
      <c r="F83" s="6" t="n"/>
      <c r="G83">
        <f>IF(A83="","",IF(E83&lt;=F83,"REORDER","OK"))</f>
        <v/>
      </c>
    </row>
    <row r="84">
      <c r="A84" s="6" t="n"/>
      <c r="B84" s="7" t="n"/>
      <c r="C84" s="6" t="n"/>
      <c r="D84">
        <f>SUMIF('Sales Log'!$B:$B,A84,'Sales Log'!$D:$D)</f>
        <v/>
      </c>
      <c r="E84">
        <f>IF(A84="","",C84-D84)</f>
        <v/>
      </c>
      <c r="F84" s="6" t="n"/>
      <c r="G84">
        <f>IF(A84="","",IF(E84&lt;=F84,"REORDER","OK"))</f>
        <v/>
      </c>
    </row>
    <row r="85">
      <c r="A85" s="6" t="n"/>
      <c r="B85" s="7" t="n"/>
      <c r="C85" s="6" t="n"/>
      <c r="D85">
        <f>SUMIF('Sales Log'!$B:$B,A85,'Sales Log'!$D:$D)</f>
        <v/>
      </c>
      <c r="E85">
        <f>IF(A85="","",C85-D85)</f>
        <v/>
      </c>
      <c r="F85" s="6" t="n"/>
      <c r="G85">
        <f>IF(A85="","",IF(E85&lt;=F85,"REORDER","OK"))</f>
        <v/>
      </c>
    </row>
    <row r="86">
      <c r="A86" s="6" t="n"/>
      <c r="B86" s="7" t="n"/>
      <c r="C86" s="6" t="n"/>
      <c r="D86">
        <f>SUMIF('Sales Log'!$B:$B,A86,'Sales Log'!$D:$D)</f>
        <v/>
      </c>
      <c r="E86">
        <f>IF(A86="","",C86-D86)</f>
        <v/>
      </c>
      <c r="F86" s="6" t="n"/>
      <c r="G86">
        <f>IF(A86="","",IF(E86&lt;=F86,"REORDER","OK"))</f>
        <v/>
      </c>
    </row>
    <row r="87">
      <c r="A87" s="6" t="n"/>
      <c r="B87" s="7" t="n"/>
      <c r="C87" s="6" t="n"/>
      <c r="D87">
        <f>SUMIF('Sales Log'!$B:$B,A87,'Sales Log'!$D:$D)</f>
        <v/>
      </c>
      <c r="E87">
        <f>IF(A87="","",C87-D87)</f>
        <v/>
      </c>
      <c r="F87" s="6" t="n"/>
      <c r="G87">
        <f>IF(A87="","",IF(E87&lt;=F87,"REORDER","OK"))</f>
        <v/>
      </c>
    </row>
    <row r="88">
      <c r="A88" s="6" t="n"/>
      <c r="B88" s="7" t="n"/>
      <c r="C88" s="6" t="n"/>
      <c r="D88">
        <f>SUMIF('Sales Log'!$B:$B,A88,'Sales Log'!$D:$D)</f>
        <v/>
      </c>
      <c r="E88">
        <f>IF(A88="","",C88-D88)</f>
        <v/>
      </c>
      <c r="F88" s="6" t="n"/>
      <c r="G88">
        <f>IF(A88="","",IF(E88&lt;=F88,"REORDER","OK"))</f>
        <v/>
      </c>
    </row>
    <row r="89">
      <c r="A89" s="6" t="n"/>
      <c r="B89" s="7" t="n"/>
      <c r="C89" s="6" t="n"/>
      <c r="D89">
        <f>SUMIF('Sales Log'!$B:$B,A89,'Sales Log'!$D:$D)</f>
        <v/>
      </c>
      <c r="E89">
        <f>IF(A89="","",C89-D89)</f>
        <v/>
      </c>
      <c r="F89" s="6" t="n"/>
      <c r="G89">
        <f>IF(A89="","",IF(E89&lt;=F89,"REORDER","OK"))</f>
        <v/>
      </c>
    </row>
    <row r="90">
      <c r="A90" s="6" t="n"/>
      <c r="B90" s="7" t="n"/>
      <c r="C90" s="6" t="n"/>
      <c r="D90">
        <f>SUMIF('Sales Log'!$B:$B,A90,'Sales Log'!$D:$D)</f>
        <v/>
      </c>
      <c r="E90">
        <f>IF(A90="","",C90-D90)</f>
        <v/>
      </c>
      <c r="F90" s="6" t="n"/>
      <c r="G90">
        <f>IF(A90="","",IF(E90&lt;=F90,"REORDER","OK"))</f>
        <v/>
      </c>
    </row>
    <row r="91">
      <c r="A91" s="6" t="n"/>
      <c r="B91" s="7" t="n"/>
      <c r="C91" s="6" t="n"/>
      <c r="D91">
        <f>SUMIF('Sales Log'!$B:$B,A91,'Sales Log'!$D:$D)</f>
        <v/>
      </c>
      <c r="E91">
        <f>IF(A91="","",C91-D91)</f>
        <v/>
      </c>
      <c r="F91" s="6" t="n"/>
      <c r="G91">
        <f>IF(A91="","",IF(E91&lt;=F91,"REORDER","OK"))</f>
        <v/>
      </c>
    </row>
    <row r="92">
      <c r="A92" s="6" t="n"/>
      <c r="B92" s="7" t="n"/>
      <c r="C92" s="6" t="n"/>
      <c r="D92">
        <f>SUMIF('Sales Log'!$B:$B,A92,'Sales Log'!$D:$D)</f>
        <v/>
      </c>
      <c r="E92">
        <f>IF(A92="","",C92-D92)</f>
        <v/>
      </c>
      <c r="F92" s="6" t="n"/>
      <c r="G92">
        <f>IF(A92="","",IF(E92&lt;=F92,"REORDER","OK"))</f>
        <v/>
      </c>
    </row>
    <row r="93">
      <c r="A93" s="6" t="n"/>
      <c r="B93" s="7" t="n"/>
      <c r="C93" s="6" t="n"/>
      <c r="D93">
        <f>SUMIF('Sales Log'!$B:$B,A93,'Sales Log'!$D:$D)</f>
        <v/>
      </c>
      <c r="E93">
        <f>IF(A93="","",C93-D93)</f>
        <v/>
      </c>
      <c r="F93" s="6" t="n"/>
      <c r="G93">
        <f>IF(A93="","",IF(E93&lt;=F93,"REORDER","OK"))</f>
        <v/>
      </c>
    </row>
    <row r="94">
      <c r="A94" s="6" t="n"/>
      <c r="B94" s="7" t="n"/>
      <c r="C94" s="6" t="n"/>
      <c r="D94">
        <f>SUMIF('Sales Log'!$B:$B,A94,'Sales Log'!$D:$D)</f>
        <v/>
      </c>
      <c r="E94">
        <f>IF(A94="","",C94-D94)</f>
        <v/>
      </c>
      <c r="F94" s="6" t="n"/>
      <c r="G94">
        <f>IF(A94="","",IF(E94&lt;=F94,"REORDER","OK"))</f>
        <v/>
      </c>
    </row>
    <row r="95">
      <c r="A95" s="6" t="n"/>
      <c r="B95" s="7" t="n"/>
      <c r="C95" s="6" t="n"/>
      <c r="D95">
        <f>SUMIF('Sales Log'!$B:$B,A95,'Sales Log'!$D:$D)</f>
        <v/>
      </c>
      <c r="E95">
        <f>IF(A95="","",C95-D95)</f>
        <v/>
      </c>
      <c r="F95" s="6" t="n"/>
      <c r="G95">
        <f>IF(A95="","",IF(E95&lt;=F95,"REORDER","OK"))</f>
        <v/>
      </c>
    </row>
    <row r="96">
      <c r="A96" s="6" t="n"/>
      <c r="B96" s="7" t="n"/>
      <c r="C96" s="6" t="n"/>
      <c r="D96">
        <f>SUMIF('Sales Log'!$B:$B,A96,'Sales Log'!$D:$D)</f>
        <v/>
      </c>
      <c r="E96">
        <f>IF(A96="","",C96-D96)</f>
        <v/>
      </c>
      <c r="F96" s="6" t="n"/>
      <c r="G96">
        <f>IF(A96="","",IF(E96&lt;=F96,"REORDER","OK"))</f>
        <v/>
      </c>
    </row>
    <row r="97">
      <c r="A97" s="6" t="n"/>
      <c r="B97" s="7" t="n"/>
      <c r="C97" s="6" t="n"/>
      <c r="D97">
        <f>SUMIF('Sales Log'!$B:$B,A97,'Sales Log'!$D:$D)</f>
        <v/>
      </c>
      <c r="E97">
        <f>IF(A97="","",C97-D97)</f>
        <v/>
      </c>
      <c r="F97" s="6" t="n"/>
      <c r="G97">
        <f>IF(A97="","",IF(E97&lt;=F97,"REORDER","OK"))</f>
        <v/>
      </c>
    </row>
    <row r="98">
      <c r="A98" s="6" t="n"/>
      <c r="B98" s="7" t="n"/>
      <c r="C98" s="6" t="n"/>
      <c r="D98">
        <f>SUMIF('Sales Log'!$B:$B,A98,'Sales Log'!$D:$D)</f>
        <v/>
      </c>
      <c r="E98">
        <f>IF(A98="","",C98-D98)</f>
        <v/>
      </c>
      <c r="F98" s="6" t="n"/>
      <c r="G98">
        <f>IF(A98="","",IF(E98&lt;=F98,"REORDER","OK"))</f>
        <v/>
      </c>
    </row>
    <row r="99">
      <c r="A99" s="6" t="n"/>
      <c r="B99" s="7" t="n"/>
      <c r="C99" s="6" t="n"/>
      <c r="D99">
        <f>SUMIF('Sales Log'!$B:$B,A99,'Sales Log'!$D:$D)</f>
        <v/>
      </c>
      <c r="E99">
        <f>IF(A99="","",C99-D99)</f>
        <v/>
      </c>
      <c r="F99" s="6" t="n"/>
      <c r="G99">
        <f>IF(A99="","",IF(E99&lt;=F99,"REORDER","OK"))</f>
        <v/>
      </c>
    </row>
    <row r="100">
      <c r="A100" s="6" t="n"/>
      <c r="B100" s="7" t="n"/>
      <c r="C100" s="6" t="n"/>
      <c r="D100">
        <f>SUMIF('Sales Log'!$B:$B,A100,'Sales Log'!$D:$D)</f>
        <v/>
      </c>
      <c r="E100">
        <f>IF(A100="","",C100-D100)</f>
        <v/>
      </c>
      <c r="F100" s="6" t="n"/>
      <c r="G100">
        <f>IF(A100="","",IF(E100&lt;=F100,"REORDER","OK"))</f>
        <v/>
      </c>
    </row>
    <row r="101">
      <c r="A101" s="6" t="n"/>
      <c r="B101" s="7" t="n"/>
      <c r="C101" s="6" t="n"/>
      <c r="D101">
        <f>SUMIF('Sales Log'!$B:$B,A101,'Sales Log'!$D:$D)</f>
        <v/>
      </c>
      <c r="E101">
        <f>IF(A101="","",C101-D101)</f>
        <v/>
      </c>
      <c r="F101" s="6" t="n"/>
      <c r="G101">
        <f>IF(A101="","",IF(E101&lt;=F101,"REORDER","OK"))</f>
        <v/>
      </c>
    </row>
    <row r="102">
      <c r="A102" s="6" t="n"/>
      <c r="B102" s="7" t="n"/>
      <c r="C102" s="6" t="n"/>
      <c r="D102">
        <f>SUMIF('Sales Log'!$B:$B,A102,'Sales Log'!$D:$D)</f>
        <v/>
      </c>
      <c r="E102">
        <f>IF(A102="","",C102-D102)</f>
        <v/>
      </c>
      <c r="F102" s="6" t="n"/>
      <c r="G102">
        <f>IF(A102="","",IF(E102&lt;=F102,"REORDER","OK"))</f>
        <v/>
      </c>
    </row>
    <row r="103">
      <c r="A103" s="6" t="n"/>
      <c r="B103" s="7" t="n"/>
      <c r="C103" s="6" t="n"/>
      <c r="D103">
        <f>SUMIF('Sales Log'!$B:$B,A103,'Sales Log'!$D:$D)</f>
        <v/>
      </c>
      <c r="E103">
        <f>IF(A103="","",C103-D103)</f>
        <v/>
      </c>
      <c r="F103" s="6" t="n"/>
      <c r="G103">
        <f>IF(A103="","",IF(E103&lt;=F103,"REORDER","OK"))</f>
        <v/>
      </c>
    </row>
    <row r="104">
      <c r="A104" s="6" t="n"/>
      <c r="B104" s="7" t="n"/>
      <c r="C104" s="6" t="n"/>
      <c r="D104">
        <f>SUMIF('Sales Log'!$B:$B,A104,'Sales Log'!$D:$D)</f>
        <v/>
      </c>
      <c r="E104">
        <f>IF(A104="","",C104-D104)</f>
        <v/>
      </c>
      <c r="F104" s="6" t="n"/>
      <c r="G104">
        <f>IF(A104="","",IF(E104&lt;=F104,"REORDER","OK"))</f>
        <v/>
      </c>
    </row>
    <row r="105">
      <c r="A105" s="6" t="n"/>
      <c r="B105" s="7" t="n"/>
      <c r="C105" s="6" t="n"/>
      <c r="D105">
        <f>SUMIF('Sales Log'!$B:$B,A105,'Sales Log'!$D:$D)</f>
        <v/>
      </c>
      <c r="E105">
        <f>IF(A105="","",C105-D105)</f>
        <v/>
      </c>
      <c r="F105" s="6" t="n"/>
      <c r="G105">
        <f>IF(A105="","",IF(E105&lt;=F105,"REORDER","OK"))</f>
        <v/>
      </c>
    </row>
    <row r="106">
      <c r="A106" s="6" t="n"/>
      <c r="B106" s="7" t="n"/>
      <c r="C106" s="6" t="n"/>
      <c r="D106">
        <f>SUMIF('Sales Log'!$B:$B,A106,'Sales Log'!$D:$D)</f>
        <v/>
      </c>
      <c r="E106">
        <f>IF(A106="","",C106-D106)</f>
        <v/>
      </c>
      <c r="F106" s="6" t="n"/>
      <c r="G106">
        <f>IF(A106="","",IF(E106&lt;=F106,"REORDER","OK"))</f>
        <v/>
      </c>
    </row>
    <row r="107">
      <c r="A107" s="6" t="n"/>
      <c r="B107" s="7" t="n"/>
      <c r="C107" s="6" t="n"/>
      <c r="D107">
        <f>SUMIF('Sales Log'!$B:$B,A107,'Sales Log'!$D:$D)</f>
        <v/>
      </c>
      <c r="E107">
        <f>IF(A107="","",C107-D107)</f>
        <v/>
      </c>
      <c r="F107" s="6" t="n"/>
      <c r="G107">
        <f>IF(A107="","",IF(E107&lt;=F107,"REORDER","OK"))</f>
        <v/>
      </c>
    </row>
    <row r="108">
      <c r="A108" s="6" t="n"/>
      <c r="B108" s="7" t="n"/>
      <c r="C108" s="6" t="n"/>
      <c r="D108">
        <f>SUMIF('Sales Log'!$B:$B,A108,'Sales Log'!$D:$D)</f>
        <v/>
      </c>
      <c r="E108">
        <f>IF(A108="","",C108-D108)</f>
        <v/>
      </c>
      <c r="F108" s="6" t="n"/>
      <c r="G108">
        <f>IF(A108="","",IF(E108&lt;=F108,"REORDER","OK"))</f>
        <v/>
      </c>
    </row>
    <row r="109">
      <c r="A109" s="6" t="n"/>
      <c r="B109" s="7" t="n"/>
      <c r="C109" s="6" t="n"/>
      <c r="D109">
        <f>SUMIF('Sales Log'!$B:$B,A109,'Sales Log'!$D:$D)</f>
        <v/>
      </c>
      <c r="E109">
        <f>IF(A109="","",C109-D109)</f>
        <v/>
      </c>
      <c r="F109" s="6" t="n"/>
      <c r="G109">
        <f>IF(A109="","",IF(E109&lt;=F109,"REORDER","OK"))</f>
        <v/>
      </c>
    </row>
    <row r="110">
      <c r="A110" s="6" t="n"/>
      <c r="B110" s="7" t="n"/>
      <c r="C110" s="6" t="n"/>
      <c r="D110">
        <f>SUMIF('Sales Log'!$B:$B,A110,'Sales Log'!$D:$D)</f>
        <v/>
      </c>
      <c r="E110">
        <f>IF(A110="","",C110-D110)</f>
        <v/>
      </c>
      <c r="F110" s="6" t="n"/>
      <c r="G110">
        <f>IF(A110="","",IF(E110&lt;=F110,"REORDER","OK"))</f>
        <v/>
      </c>
    </row>
    <row r="111">
      <c r="A111" s="6" t="n"/>
      <c r="B111" s="7" t="n"/>
      <c r="C111" s="6" t="n"/>
      <c r="D111">
        <f>SUMIF('Sales Log'!$B:$B,A111,'Sales Log'!$D:$D)</f>
        <v/>
      </c>
      <c r="E111">
        <f>IF(A111="","",C111-D111)</f>
        <v/>
      </c>
      <c r="F111" s="6" t="n"/>
      <c r="G111">
        <f>IF(A111="","",IF(E111&lt;=F111,"REORDER","OK"))</f>
        <v/>
      </c>
    </row>
    <row r="112">
      <c r="A112" s="6" t="n"/>
      <c r="B112" s="7" t="n"/>
      <c r="C112" s="6" t="n"/>
      <c r="D112">
        <f>SUMIF('Sales Log'!$B:$B,A112,'Sales Log'!$D:$D)</f>
        <v/>
      </c>
      <c r="E112">
        <f>IF(A112="","",C112-D112)</f>
        <v/>
      </c>
      <c r="F112" s="6" t="n"/>
      <c r="G112">
        <f>IF(A112="","",IF(E112&lt;=F112,"REORDER","OK"))</f>
        <v/>
      </c>
    </row>
    <row r="113">
      <c r="A113" s="6" t="n"/>
      <c r="B113" s="7" t="n"/>
      <c r="C113" s="6" t="n"/>
      <c r="D113">
        <f>SUMIF('Sales Log'!$B:$B,A113,'Sales Log'!$D:$D)</f>
        <v/>
      </c>
      <c r="E113">
        <f>IF(A113="","",C113-D113)</f>
        <v/>
      </c>
      <c r="F113" s="6" t="n"/>
      <c r="G113">
        <f>IF(A113="","",IF(E113&lt;=F113,"REORDER","OK"))</f>
        <v/>
      </c>
    </row>
    <row r="114">
      <c r="A114" s="6" t="n"/>
      <c r="B114" s="7" t="n"/>
      <c r="C114" s="6" t="n"/>
      <c r="D114">
        <f>SUMIF('Sales Log'!$B:$B,A114,'Sales Log'!$D:$D)</f>
        <v/>
      </c>
      <c r="E114">
        <f>IF(A114="","",C114-D114)</f>
        <v/>
      </c>
      <c r="F114" s="6" t="n"/>
      <c r="G114">
        <f>IF(A114="","",IF(E114&lt;=F114,"REORDER","OK"))</f>
        <v/>
      </c>
    </row>
    <row r="115">
      <c r="A115" s="6" t="n"/>
      <c r="B115" s="7" t="n"/>
      <c r="C115" s="6" t="n"/>
      <c r="D115">
        <f>SUMIF('Sales Log'!$B:$B,A115,'Sales Log'!$D:$D)</f>
        <v/>
      </c>
      <c r="E115">
        <f>IF(A115="","",C115-D115)</f>
        <v/>
      </c>
      <c r="F115" s="6" t="n"/>
      <c r="G115">
        <f>IF(A115="","",IF(E115&lt;=F115,"REORDER","OK"))</f>
        <v/>
      </c>
    </row>
    <row r="116">
      <c r="A116" s="6" t="n"/>
      <c r="B116" s="7" t="n"/>
      <c r="C116" s="6" t="n"/>
      <c r="D116">
        <f>SUMIF('Sales Log'!$B:$B,A116,'Sales Log'!$D:$D)</f>
        <v/>
      </c>
      <c r="E116">
        <f>IF(A116="","",C116-D116)</f>
        <v/>
      </c>
      <c r="F116" s="6" t="n"/>
      <c r="G116">
        <f>IF(A116="","",IF(E116&lt;=F116,"REORDER","OK"))</f>
        <v/>
      </c>
    </row>
    <row r="117">
      <c r="A117" s="6" t="n"/>
      <c r="B117" s="7" t="n"/>
      <c r="C117" s="6" t="n"/>
      <c r="D117">
        <f>SUMIF('Sales Log'!$B:$B,A117,'Sales Log'!$D:$D)</f>
        <v/>
      </c>
      <c r="E117">
        <f>IF(A117="","",C117-D117)</f>
        <v/>
      </c>
      <c r="F117" s="6" t="n"/>
      <c r="G117">
        <f>IF(A117="","",IF(E117&lt;=F117,"REORDER","OK"))</f>
        <v/>
      </c>
    </row>
    <row r="118">
      <c r="A118" s="6" t="n"/>
      <c r="B118" s="7" t="n"/>
      <c r="C118" s="6" t="n"/>
      <c r="D118">
        <f>SUMIF('Sales Log'!$B:$B,A118,'Sales Log'!$D:$D)</f>
        <v/>
      </c>
      <c r="E118">
        <f>IF(A118="","",C118-D118)</f>
        <v/>
      </c>
      <c r="F118" s="6" t="n"/>
      <c r="G118">
        <f>IF(A118="","",IF(E118&lt;=F118,"REORDER","OK"))</f>
        <v/>
      </c>
    </row>
    <row r="119">
      <c r="A119" s="6" t="n"/>
      <c r="B119" s="7" t="n"/>
      <c r="C119" s="6" t="n"/>
      <c r="D119">
        <f>SUMIF('Sales Log'!$B:$B,A119,'Sales Log'!$D:$D)</f>
        <v/>
      </c>
      <c r="E119">
        <f>IF(A119="","",C119-D119)</f>
        <v/>
      </c>
      <c r="F119" s="6" t="n"/>
      <c r="G119">
        <f>IF(A119="","",IF(E119&lt;=F119,"REORDER","OK"))</f>
        <v/>
      </c>
    </row>
    <row r="120">
      <c r="A120" s="6" t="n"/>
      <c r="B120" s="7" t="n"/>
      <c r="C120" s="6" t="n"/>
      <c r="D120">
        <f>SUMIF('Sales Log'!$B:$B,A120,'Sales Log'!$D:$D)</f>
        <v/>
      </c>
      <c r="E120">
        <f>IF(A120="","",C120-D120)</f>
        <v/>
      </c>
      <c r="F120" s="6" t="n"/>
      <c r="G120">
        <f>IF(A120="","",IF(E120&lt;=F120,"REORDER","OK"))</f>
        <v/>
      </c>
    </row>
    <row r="121">
      <c r="A121" s="6" t="n"/>
      <c r="B121" s="7" t="n"/>
      <c r="C121" s="6" t="n"/>
      <c r="D121">
        <f>SUMIF('Sales Log'!$B:$B,A121,'Sales Log'!$D:$D)</f>
        <v/>
      </c>
      <c r="E121">
        <f>IF(A121="","",C121-D121)</f>
        <v/>
      </c>
      <c r="F121" s="6" t="n"/>
      <c r="G121">
        <f>IF(A121="","",IF(E121&lt;=F121,"REORDER","OK"))</f>
        <v/>
      </c>
    </row>
    <row r="122">
      <c r="A122" s="6" t="n"/>
      <c r="B122" s="7" t="n"/>
      <c r="C122" s="6" t="n"/>
      <c r="D122">
        <f>SUMIF('Sales Log'!$B:$B,A122,'Sales Log'!$D:$D)</f>
        <v/>
      </c>
      <c r="E122">
        <f>IF(A122="","",C122-D122)</f>
        <v/>
      </c>
      <c r="F122" s="6" t="n"/>
      <c r="G122">
        <f>IF(A122="","",IF(E122&lt;=F122,"REORDER","OK"))</f>
        <v/>
      </c>
    </row>
    <row r="123">
      <c r="A123" s="6" t="n"/>
      <c r="B123" s="7" t="n"/>
      <c r="C123" s="6" t="n"/>
      <c r="D123">
        <f>SUMIF('Sales Log'!$B:$B,A123,'Sales Log'!$D:$D)</f>
        <v/>
      </c>
      <c r="E123">
        <f>IF(A123="","",C123-D123)</f>
        <v/>
      </c>
      <c r="F123" s="6" t="n"/>
      <c r="G123">
        <f>IF(A123="","",IF(E123&lt;=F123,"REORDER","OK"))</f>
        <v/>
      </c>
    </row>
    <row r="124">
      <c r="A124" s="6" t="n"/>
      <c r="B124" s="7" t="n"/>
      <c r="C124" s="6" t="n"/>
      <c r="D124">
        <f>SUMIF('Sales Log'!$B:$B,A124,'Sales Log'!$D:$D)</f>
        <v/>
      </c>
      <c r="E124">
        <f>IF(A124="","",C124-D124)</f>
        <v/>
      </c>
      <c r="F124" s="6" t="n"/>
      <c r="G124">
        <f>IF(A124="","",IF(E124&lt;=F124,"REORDER","OK"))</f>
        <v/>
      </c>
    </row>
    <row r="125">
      <c r="A125" s="6" t="n"/>
      <c r="B125" s="7" t="n"/>
      <c r="C125" s="6" t="n"/>
      <c r="D125">
        <f>SUMIF('Sales Log'!$B:$B,A125,'Sales Log'!$D:$D)</f>
        <v/>
      </c>
      <c r="E125">
        <f>IF(A125="","",C125-D125)</f>
        <v/>
      </c>
      <c r="F125" s="6" t="n"/>
      <c r="G125">
        <f>IF(A125="","",IF(E125&lt;=F125,"REORDER","OK"))</f>
        <v/>
      </c>
    </row>
    <row r="126">
      <c r="A126" s="6" t="n"/>
      <c r="B126" s="7" t="n"/>
      <c r="C126" s="6" t="n"/>
      <c r="D126">
        <f>SUMIF('Sales Log'!$B:$B,A126,'Sales Log'!$D:$D)</f>
        <v/>
      </c>
      <c r="E126">
        <f>IF(A126="","",C126-D126)</f>
        <v/>
      </c>
      <c r="F126" s="6" t="n"/>
      <c r="G126">
        <f>IF(A126="","",IF(E126&lt;=F126,"REORDER","OK"))</f>
        <v/>
      </c>
    </row>
    <row r="127">
      <c r="A127" s="6" t="n"/>
      <c r="B127" s="7" t="n"/>
      <c r="C127" s="6" t="n"/>
      <c r="D127">
        <f>SUMIF('Sales Log'!$B:$B,A127,'Sales Log'!$D:$D)</f>
        <v/>
      </c>
      <c r="E127">
        <f>IF(A127="","",C127-D127)</f>
        <v/>
      </c>
      <c r="F127" s="6" t="n"/>
      <c r="G127">
        <f>IF(A127="","",IF(E127&lt;=F127,"REORDER","OK"))</f>
        <v/>
      </c>
    </row>
    <row r="128">
      <c r="A128" s="6" t="n"/>
      <c r="B128" s="7" t="n"/>
      <c r="C128" s="6" t="n"/>
      <c r="D128">
        <f>SUMIF('Sales Log'!$B:$B,A128,'Sales Log'!$D:$D)</f>
        <v/>
      </c>
      <c r="E128">
        <f>IF(A128="","",C128-D128)</f>
        <v/>
      </c>
      <c r="F128" s="6" t="n"/>
      <c r="G128">
        <f>IF(A128="","",IF(E128&lt;=F128,"REORDER","OK"))</f>
        <v/>
      </c>
    </row>
    <row r="129">
      <c r="A129" s="6" t="n"/>
      <c r="B129" s="7" t="n"/>
      <c r="C129" s="6" t="n"/>
      <c r="D129">
        <f>SUMIF('Sales Log'!$B:$B,A129,'Sales Log'!$D:$D)</f>
        <v/>
      </c>
      <c r="E129">
        <f>IF(A129="","",C129-D129)</f>
        <v/>
      </c>
      <c r="F129" s="6" t="n"/>
      <c r="G129">
        <f>IF(A129="","",IF(E129&lt;=F129,"REORDER","OK"))</f>
        <v/>
      </c>
    </row>
    <row r="130">
      <c r="A130" s="6" t="n"/>
      <c r="B130" s="7" t="n"/>
      <c r="C130" s="6" t="n"/>
      <c r="D130">
        <f>SUMIF('Sales Log'!$B:$B,A130,'Sales Log'!$D:$D)</f>
        <v/>
      </c>
      <c r="E130">
        <f>IF(A130="","",C130-D130)</f>
        <v/>
      </c>
      <c r="F130" s="6" t="n"/>
      <c r="G130">
        <f>IF(A130="","",IF(E130&lt;=F130,"REORDER","OK"))</f>
        <v/>
      </c>
    </row>
    <row r="131">
      <c r="A131" s="6" t="n"/>
      <c r="B131" s="7" t="n"/>
      <c r="C131" s="6" t="n"/>
      <c r="D131">
        <f>SUMIF('Sales Log'!$B:$B,A131,'Sales Log'!$D:$D)</f>
        <v/>
      </c>
      <c r="E131">
        <f>IF(A131="","",C131-D131)</f>
        <v/>
      </c>
      <c r="F131" s="6" t="n"/>
      <c r="G131">
        <f>IF(A131="","",IF(E131&lt;=F131,"REORDER","OK"))</f>
        <v/>
      </c>
    </row>
    <row r="132">
      <c r="A132" s="6" t="n"/>
      <c r="B132" s="7" t="n"/>
      <c r="C132" s="6" t="n"/>
      <c r="D132">
        <f>SUMIF('Sales Log'!$B:$B,A132,'Sales Log'!$D:$D)</f>
        <v/>
      </c>
      <c r="E132">
        <f>IF(A132="","",C132-D132)</f>
        <v/>
      </c>
      <c r="F132" s="6" t="n"/>
      <c r="G132">
        <f>IF(A132="","",IF(E132&lt;=F132,"REORDER","OK"))</f>
        <v/>
      </c>
    </row>
    <row r="133">
      <c r="A133" s="6" t="n"/>
      <c r="B133" s="7" t="n"/>
      <c r="C133" s="6" t="n"/>
      <c r="D133">
        <f>SUMIF('Sales Log'!$B:$B,A133,'Sales Log'!$D:$D)</f>
        <v/>
      </c>
      <c r="E133">
        <f>IF(A133="","",C133-D133)</f>
        <v/>
      </c>
      <c r="F133" s="6" t="n"/>
      <c r="G133">
        <f>IF(A133="","",IF(E133&lt;=F133,"REORDER","OK"))</f>
        <v/>
      </c>
    </row>
    <row r="134">
      <c r="A134" s="6" t="n"/>
      <c r="B134" s="7" t="n"/>
      <c r="C134" s="6" t="n"/>
      <c r="D134">
        <f>SUMIF('Sales Log'!$B:$B,A134,'Sales Log'!$D:$D)</f>
        <v/>
      </c>
      <c r="E134">
        <f>IF(A134="","",C134-D134)</f>
        <v/>
      </c>
      <c r="F134" s="6" t="n"/>
      <c r="G134">
        <f>IF(A134="","",IF(E134&lt;=F134,"REORDER","OK"))</f>
        <v/>
      </c>
    </row>
    <row r="135">
      <c r="A135" s="6" t="n"/>
      <c r="B135" s="7" t="n"/>
      <c r="C135" s="6" t="n"/>
      <c r="D135">
        <f>SUMIF('Sales Log'!$B:$B,A135,'Sales Log'!$D:$D)</f>
        <v/>
      </c>
      <c r="E135">
        <f>IF(A135="","",C135-D135)</f>
        <v/>
      </c>
      <c r="F135" s="6" t="n"/>
      <c r="G135">
        <f>IF(A135="","",IF(E135&lt;=F135,"REORDER","OK"))</f>
        <v/>
      </c>
    </row>
    <row r="136">
      <c r="A136" s="6" t="n"/>
      <c r="B136" s="7" t="n"/>
      <c r="C136" s="6" t="n"/>
      <c r="D136">
        <f>SUMIF('Sales Log'!$B:$B,A136,'Sales Log'!$D:$D)</f>
        <v/>
      </c>
      <c r="E136">
        <f>IF(A136="","",C136-D136)</f>
        <v/>
      </c>
      <c r="F136" s="6" t="n"/>
      <c r="G136">
        <f>IF(A136="","",IF(E136&lt;=F136,"REORDER","OK"))</f>
        <v/>
      </c>
    </row>
    <row r="137">
      <c r="A137" s="6" t="n"/>
      <c r="B137" s="7" t="n"/>
      <c r="C137" s="6" t="n"/>
      <c r="D137">
        <f>SUMIF('Sales Log'!$B:$B,A137,'Sales Log'!$D:$D)</f>
        <v/>
      </c>
      <c r="E137">
        <f>IF(A137="","",C137-D137)</f>
        <v/>
      </c>
      <c r="F137" s="6" t="n"/>
      <c r="G137">
        <f>IF(A137="","",IF(E137&lt;=F137,"REORDER","OK"))</f>
        <v/>
      </c>
    </row>
    <row r="138">
      <c r="A138" s="6" t="n"/>
      <c r="B138" s="7" t="n"/>
      <c r="C138" s="6" t="n"/>
      <c r="D138">
        <f>SUMIF('Sales Log'!$B:$B,A138,'Sales Log'!$D:$D)</f>
        <v/>
      </c>
      <c r="E138">
        <f>IF(A138="","",C138-D138)</f>
        <v/>
      </c>
      <c r="F138" s="6" t="n"/>
      <c r="G138">
        <f>IF(A138="","",IF(E138&lt;=F138,"REORDER","OK"))</f>
        <v/>
      </c>
    </row>
    <row r="139">
      <c r="A139" s="6" t="n"/>
      <c r="B139" s="7" t="n"/>
      <c r="C139" s="6" t="n"/>
      <c r="D139">
        <f>SUMIF('Sales Log'!$B:$B,A139,'Sales Log'!$D:$D)</f>
        <v/>
      </c>
      <c r="E139">
        <f>IF(A139="","",C139-D139)</f>
        <v/>
      </c>
      <c r="F139" s="6" t="n"/>
      <c r="G139">
        <f>IF(A139="","",IF(E139&lt;=F139,"REORDER","OK"))</f>
        <v/>
      </c>
    </row>
    <row r="140">
      <c r="A140" s="6" t="n"/>
      <c r="B140" s="7" t="n"/>
      <c r="C140" s="6" t="n"/>
      <c r="D140">
        <f>SUMIF('Sales Log'!$B:$B,A140,'Sales Log'!$D:$D)</f>
        <v/>
      </c>
      <c r="E140">
        <f>IF(A140="","",C140-D140)</f>
        <v/>
      </c>
      <c r="F140" s="6" t="n"/>
      <c r="G140">
        <f>IF(A140="","",IF(E140&lt;=F140,"REORDER","OK"))</f>
        <v/>
      </c>
    </row>
    <row r="141">
      <c r="A141" s="6" t="n"/>
      <c r="B141" s="7" t="n"/>
      <c r="C141" s="6" t="n"/>
      <c r="D141">
        <f>SUMIF('Sales Log'!$B:$B,A141,'Sales Log'!$D:$D)</f>
        <v/>
      </c>
      <c r="E141">
        <f>IF(A141="","",C141-D141)</f>
        <v/>
      </c>
      <c r="F141" s="6" t="n"/>
      <c r="G141">
        <f>IF(A141="","",IF(E141&lt;=F141,"REORDER","OK"))</f>
        <v/>
      </c>
    </row>
    <row r="142">
      <c r="A142" s="6" t="n"/>
      <c r="B142" s="7" t="n"/>
      <c r="C142" s="6" t="n"/>
      <c r="D142">
        <f>SUMIF('Sales Log'!$B:$B,A142,'Sales Log'!$D:$D)</f>
        <v/>
      </c>
      <c r="E142">
        <f>IF(A142="","",C142-D142)</f>
        <v/>
      </c>
      <c r="F142" s="6" t="n"/>
      <c r="G142">
        <f>IF(A142="","",IF(E142&lt;=F142,"REORDER","OK"))</f>
        <v/>
      </c>
    </row>
    <row r="143">
      <c r="A143" s="6" t="n"/>
      <c r="B143" s="7" t="n"/>
      <c r="C143" s="6" t="n"/>
      <c r="D143">
        <f>SUMIF('Sales Log'!$B:$B,A143,'Sales Log'!$D:$D)</f>
        <v/>
      </c>
      <c r="E143">
        <f>IF(A143="","",C143-D143)</f>
        <v/>
      </c>
      <c r="F143" s="6" t="n"/>
      <c r="G143">
        <f>IF(A143="","",IF(E143&lt;=F143,"REORDER","OK"))</f>
        <v/>
      </c>
    </row>
    <row r="144">
      <c r="A144" s="6" t="n"/>
      <c r="B144" s="7" t="n"/>
      <c r="C144" s="6" t="n"/>
      <c r="D144">
        <f>SUMIF('Sales Log'!$B:$B,A144,'Sales Log'!$D:$D)</f>
        <v/>
      </c>
      <c r="E144">
        <f>IF(A144="","",C144-D144)</f>
        <v/>
      </c>
      <c r="F144" s="6" t="n"/>
      <c r="G144">
        <f>IF(A144="","",IF(E144&lt;=F144,"REORDER","OK"))</f>
        <v/>
      </c>
    </row>
    <row r="145">
      <c r="A145" s="6" t="n"/>
      <c r="B145" s="7" t="n"/>
      <c r="C145" s="6" t="n"/>
      <c r="D145">
        <f>SUMIF('Sales Log'!$B:$B,A145,'Sales Log'!$D:$D)</f>
        <v/>
      </c>
      <c r="E145">
        <f>IF(A145="","",C145-D145)</f>
        <v/>
      </c>
      <c r="F145" s="6" t="n"/>
      <c r="G145">
        <f>IF(A145="","",IF(E145&lt;=F145,"REORDER","OK"))</f>
        <v/>
      </c>
    </row>
    <row r="146">
      <c r="A146" s="6" t="n"/>
      <c r="B146" s="7" t="n"/>
      <c r="C146" s="6" t="n"/>
      <c r="D146">
        <f>SUMIF('Sales Log'!$B:$B,A146,'Sales Log'!$D:$D)</f>
        <v/>
      </c>
      <c r="E146">
        <f>IF(A146="","",C146-D146)</f>
        <v/>
      </c>
      <c r="F146" s="6" t="n"/>
      <c r="G146">
        <f>IF(A146="","",IF(E146&lt;=F146,"REORDER","OK"))</f>
        <v/>
      </c>
    </row>
    <row r="147">
      <c r="A147" s="6" t="n"/>
      <c r="B147" s="7" t="n"/>
      <c r="C147" s="6" t="n"/>
      <c r="D147">
        <f>SUMIF('Sales Log'!$B:$B,A147,'Sales Log'!$D:$D)</f>
        <v/>
      </c>
      <c r="E147">
        <f>IF(A147="","",C147-D147)</f>
        <v/>
      </c>
      <c r="F147" s="6" t="n"/>
      <c r="G147">
        <f>IF(A147="","",IF(E147&lt;=F147,"REORDER","OK"))</f>
        <v/>
      </c>
    </row>
    <row r="148">
      <c r="A148" s="6" t="n"/>
      <c r="B148" s="7" t="n"/>
      <c r="C148" s="6" t="n"/>
      <c r="D148">
        <f>SUMIF('Sales Log'!$B:$B,A148,'Sales Log'!$D:$D)</f>
        <v/>
      </c>
      <c r="E148">
        <f>IF(A148="","",C148-D148)</f>
        <v/>
      </c>
      <c r="F148" s="6" t="n"/>
      <c r="G148">
        <f>IF(A148="","",IF(E148&lt;=F148,"REORDER","OK"))</f>
        <v/>
      </c>
    </row>
    <row r="149">
      <c r="A149" s="6" t="n"/>
      <c r="B149" s="7" t="n"/>
      <c r="C149" s="6" t="n"/>
      <c r="D149">
        <f>SUMIF('Sales Log'!$B:$B,A149,'Sales Log'!$D:$D)</f>
        <v/>
      </c>
      <c r="E149">
        <f>IF(A149="","",C149-D149)</f>
        <v/>
      </c>
      <c r="F149" s="6" t="n"/>
      <c r="G149">
        <f>IF(A149="","",IF(E149&lt;=F149,"REORDER","OK"))</f>
        <v/>
      </c>
    </row>
    <row r="150">
      <c r="A150" s="6" t="n"/>
      <c r="B150" s="7" t="n"/>
      <c r="C150" s="6" t="n"/>
      <c r="D150">
        <f>SUMIF('Sales Log'!$B:$B,A150,'Sales Log'!$D:$D)</f>
        <v/>
      </c>
      <c r="E150">
        <f>IF(A150="","",C150-D150)</f>
        <v/>
      </c>
      <c r="F150" s="6" t="n"/>
      <c r="G150">
        <f>IF(A150="","",IF(E150&lt;=F150,"REORDER","OK"))</f>
        <v/>
      </c>
    </row>
    <row r="151">
      <c r="A151" s="6" t="n"/>
      <c r="B151" s="7" t="n"/>
      <c r="C151" s="6" t="n"/>
      <c r="D151">
        <f>SUMIF('Sales Log'!$B:$B,A151,'Sales Log'!$D:$D)</f>
        <v/>
      </c>
      <c r="E151">
        <f>IF(A151="","",C151-D151)</f>
        <v/>
      </c>
      <c r="F151" s="6" t="n"/>
      <c r="G151">
        <f>IF(A151="","",IF(E151&lt;=F151,"REORDER","OK"))</f>
        <v/>
      </c>
    </row>
    <row r="152">
      <c r="A152" s="6" t="n"/>
      <c r="B152" s="7" t="n"/>
      <c r="C152" s="6" t="n"/>
      <c r="D152">
        <f>SUMIF('Sales Log'!$B:$B,A152,'Sales Log'!$D:$D)</f>
        <v/>
      </c>
      <c r="E152">
        <f>IF(A152="","",C152-D152)</f>
        <v/>
      </c>
      <c r="F152" s="6" t="n"/>
      <c r="G152">
        <f>IF(A152="","",IF(E152&lt;=F152,"REORDER","OK"))</f>
        <v/>
      </c>
    </row>
    <row r="153">
      <c r="A153" s="6" t="n"/>
      <c r="B153" s="7" t="n"/>
      <c r="C153" s="6" t="n"/>
      <c r="D153">
        <f>SUMIF('Sales Log'!$B:$B,A153,'Sales Log'!$D:$D)</f>
        <v/>
      </c>
      <c r="E153">
        <f>IF(A153="","",C153-D153)</f>
        <v/>
      </c>
      <c r="F153" s="6" t="n"/>
      <c r="G153">
        <f>IF(A153="","",IF(E153&lt;=F153,"REORDER","OK"))</f>
        <v/>
      </c>
    </row>
    <row r="154">
      <c r="A154" s="6" t="n"/>
      <c r="B154" s="7" t="n"/>
      <c r="C154" s="6" t="n"/>
      <c r="D154">
        <f>SUMIF('Sales Log'!$B:$B,A154,'Sales Log'!$D:$D)</f>
        <v/>
      </c>
      <c r="E154">
        <f>IF(A154="","",C154-D154)</f>
        <v/>
      </c>
      <c r="F154" s="6" t="n"/>
      <c r="G154">
        <f>IF(A154="","",IF(E154&lt;=F154,"REORDER","OK"))</f>
        <v/>
      </c>
    </row>
    <row r="155">
      <c r="A155" s="6" t="n"/>
      <c r="B155" s="7" t="n"/>
      <c r="C155" s="6" t="n"/>
      <c r="D155">
        <f>SUMIF('Sales Log'!$B:$B,A155,'Sales Log'!$D:$D)</f>
        <v/>
      </c>
      <c r="E155">
        <f>IF(A155="","",C155-D155)</f>
        <v/>
      </c>
      <c r="F155" s="6" t="n"/>
      <c r="G155">
        <f>IF(A155="","",IF(E155&lt;=F155,"REORDER","OK"))</f>
        <v/>
      </c>
    </row>
    <row r="156">
      <c r="A156" s="6" t="n"/>
      <c r="B156" s="7" t="n"/>
      <c r="C156" s="6" t="n"/>
      <c r="D156">
        <f>SUMIF('Sales Log'!$B:$B,A156,'Sales Log'!$D:$D)</f>
        <v/>
      </c>
      <c r="E156">
        <f>IF(A156="","",C156-D156)</f>
        <v/>
      </c>
      <c r="F156" s="6" t="n"/>
      <c r="G156">
        <f>IF(A156="","",IF(E156&lt;=F156,"REORDER","OK"))</f>
        <v/>
      </c>
    </row>
    <row r="157">
      <c r="A157" s="6" t="n"/>
      <c r="B157" s="7" t="n"/>
      <c r="C157" s="6" t="n"/>
      <c r="D157">
        <f>SUMIF('Sales Log'!$B:$B,A157,'Sales Log'!$D:$D)</f>
        <v/>
      </c>
      <c r="E157">
        <f>IF(A157="","",C157-D157)</f>
        <v/>
      </c>
      <c r="F157" s="6" t="n"/>
      <c r="G157">
        <f>IF(A157="","",IF(E157&lt;=F157,"REORDER","OK"))</f>
        <v/>
      </c>
    </row>
    <row r="158">
      <c r="A158" s="6" t="n"/>
      <c r="B158" s="7" t="n"/>
      <c r="C158" s="6" t="n"/>
      <c r="D158">
        <f>SUMIF('Sales Log'!$B:$B,A158,'Sales Log'!$D:$D)</f>
        <v/>
      </c>
      <c r="E158">
        <f>IF(A158="","",C158-D158)</f>
        <v/>
      </c>
      <c r="F158" s="6" t="n"/>
      <c r="G158">
        <f>IF(A158="","",IF(E158&lt;=F158,"REORDER","OK"))</f>
        <v/>
      </c>
    </row>
    <row r="159">
      <c r="A159" s="6" t="n"/>
      <c r="B159" s="7" t="n"/>
      <c r="C159" s="6" t="n"/>
      <c r="D159">
        <f>SUMIF('Sales Log'!$B:$B,A159,'Sales Log'!$D:$D)</f>
        <v/>
      </c>
      <c r="E159">
        <f>IF(A159="","",C159-D159)</f>
        <v/>
      </c>
      <c r="F159" s="6" t="n"/>
      <c r="G159">
        <f>IF(A159="","",IF(E159&lt;=F159,"REORDER","OK"))</f>
        <v/>
      </c>
    </row>
    <row r="160">
      <c r="A160" s="6" t="n"/>
      <c r="B160" s="7" t="n"/>
      <c r="C160" s="6" t="n"/>
      <c r="D160">
        <f>SUMIF('Sales Log'!$B:$B,A160,'Sales Log'!$D:$D)</f>
        <v/>
      </c>
      <c r="E160">
        <f>IF(A160="","",C160-D160)</f>
        <v/>
      </c>
      <c r="F160" s="6" t="n"/>
      <c r="G160">
        <f>IF(A160="","",IF(E160&lt;=F160,"REORDER","OK"))</f>
        <v/>
      </c>
    </row>
    <row r="161">
      <c r="A161" s="6" t="n"/>
      <c r="B161" s="7" t="n"/>
      <c r="C161" s="6" t="n"/>
      <c r="D161">
        <f>SUMIF('Sales Log'!$B:$B,A161,'Sales Log'!$D:$D)</f>
        <v/>
      </c>
      <c r="E161">
        <f>IF(A161="","",C161-D161)</f>
        <v/>
      </c>
      <c r="F161" s="6" t="n"/>
      <c r="G161">
        <f>IF(A161="","",IF(E161&lt;=F161,"REORDER","OK"))</f>
        <v/>
      </c>
    </row>
    <row r="162">
      <c r="A162" s="6" t="n"/>
      <c r="B162" s="7" t="n"/>
      <c r="C162" s="6" t="n"/>
      <c r="D162">
        <f>SUMIF('Sales Log'!$B:$B,A162,'Sales Log'!$D:$D)</f>
        <v/>
      </c>
      <c r="E162">
        <f>IF(A162="","",C162-D162)</f>
        <v/>
      </c>
      <c r="F162" s="6" t="n"/>
      <c r="G162">
        <f>IF(A162="","",IF(E162&lt;=F162,"REORDER","OK"))</f>
        <v/>
      </c>
    </row>
    <row r="163">
      <c r="A163" s="6" t="n"/>
      <c r="B163" s="7" t="n"/>
      <c r="C163" s="6" t="n"/>
      <c r="D163">
        <f>SUMIF('Sales Log'!$B:$B,A163,'Sales Log'!$D:$D)</f>
        <v/>
      </c>
      <c r="E163">
        <f>IF(A163="","",C163-D163)</f>
        <v/>
      </c>
      <c r="F163" s="6" t="n"/>
      <c r="G163">
        <f>IF(A163="","",IF(E163&lt;=F163,"REORDER","OK"))</f>
        <v/>
      </c>
    </row>
    <row r="164">
      <c r="A164" s="6" t="n"/>
      <c r="B164" s="7" t="n"/>
      <c r="C164" s="6" t="n"/>
      <c r="D164">
        <f>SUMIF('Sales Log'!$B:$B,A164,'Sales Log'!$D:$D)</f>
        <v/>
      </c>
      <c r="E164">
        <f>IF(A164="","",C164-D164)</f>
        <v/>
      </c>
      <c r="F164" s="6" t="n"/>
      <c r="G164">
        <f>IF(A164="","",IF(E164&lt;=F164,"REORDER","OK"))</f>
        <v/>
      </c>
    </row>
    <row r="165">
      <c r="A165" s="6" t="n"/>
      <c r="B165" s="7" t="n"/>
      <c r="C165" s="6" t="n"/>
      <c r="D165">
        <f>SUMIF('Sales Log'!$B:$B,A165,'Sales Log'!$D:$D)</f>
        <v/>
      </c>
      <c r="E165">
        <f>IF(A165="","",C165-D165)</f>
        <v/>
      </c>
      <c r="F165" s="6" t="n"/>
      <c r="G165">
        <f>IF(A165="","",IF(E165&lt;=F165,"REORDER","OK"))</f>
        <v/>
      </c>
    </row>
    <row r="166">
      <c r="A166" s="6" t="n"/>
      <c r="B166" s="7" t="n"/>
      <c r="C166" s="6" t="n"/>
      <c r="D166">
        <f>SUMIF('Sales Log'!$B:$B,A166,'Sales Log'!$D:$D)</f>
        <v/>
      </c>
      <c r="E166">
        <f>IF(A166="","",C166-D166)</f>
        <v/>
      </c>
      <c r="F166" s="6" t="n"/>
      <c r="G166">
        <f>IF(A166="","",IF(E166&lt;=F166,"REORDER","OK"))</f>
        <v/>
      </c>
    </row>
    <row r="167">
      <c r="A167" s="6" t="n"/>
      <c r="B167" s="7" t="n"/>
      <c r="C167" s="6" t="n"/>
      <c r="D167">
        <f>SUMIF('Sales Log'!$B:$B,A167,'Sales Log'!$D:$D)</f>
        <v/>
      </c>
      <c r="E167">
        <f>IF(A167="","",C167-D167)</f>
        <v/>
      </c>
      <c r="F167" s="6" t="n"/>
      <c r="G167">
        <f>IF(A167="","",IF(E167&lt;=F167,"REORDER","OK"))</f>
        <v/>
      </c>
    </row>
    <row r="168">
      <c r="A168" s="6" t="n"/>
      <c r="B168" s="7" t="n"/>
      <c r="C168" s="6" t="n"/>
      <c r="D168">
        <f>SUMIF('Sales Log'!$B:$B,A168,'Sales Log'!$D:$D)</f>
        <v/>
      </c>
      <c r="E168">
        <f>IF(A168="","",C168-D168)</f>
        <v/>
      </c>
      <c r="F168" s="6" t="n"/>
      <c r="G168">
        <f>IF(A168="","",IF(E168&lt;=F168,"REORDER","OK"))</f>
        <v/>
      </c>
    </row>
    <row r="169">
      <c r="A169" s="6" t="n"/>
      <c r="B169" s="7" t="n"/>
      <c r="C169" s="6" t="n"/>
      <c r="D169">
        <f>SUMIF('Sales Log'!$B:$B,A169,'Sales Log'!$D:$D)</f>
        <v/>
      </c>
      <c r="E169">
        <f>IF(A169="","",C169-D169)</f>
        <v/>
      </c>
      <c r="F169" s="6" t="n"/>
      <c r="G169">
        <f>IF(A169="","",IF(E169&lt;=F169,"REORDER","OK"))</f>
        <v/>
      </c>
    </row>
    <row r="170">
      <c r="A170" s="6" t="n"/>
      <c r="B170" s="7" t="n"/>
      <c r="C170" s="6" t="n"/>
      <c r="D170">
        <f>SUMIF('Sales Log'!$B:$B,A170,'Sales Log'!$D:$D)</f>
        <v/>
      </c>
      <c r="E170">
        <f>IF(A170="","",C170-D170)</f>
        <v/>
      </c>
      <c r="F170" s="6" t="n"/>
      <c r="G170">
        <f>IF(A170="","",IF(E170&lt;=F170,"REORDER","OK"))</f>
        <v/>
      </c>
    </row>
    <row r="171">
      <c r="A171" s="6" t="n"/>
      <c r="B171" s="7" t="n"/>
      <c r="C171" s="6" t="n"/>
      <c r="D171">
        <f>SUMIF('Sales Log'!$B:$B,A171,'Sales Log'!$D:$D)</f>
        <v/>
      </c>
      <c r="E171">
        <f>IF(A171="","",C171-D171)</f>
        <v/>
      </c>
      <c r="F171" s="6" t="n"/>
      <c r="G171">
        <f>IF(A171="","",IF(E171&lt;=F171,"REORDER","OK"))</f>
        <v/>
      </c>
    </row>
    <row r="172">
      <c r="A172" s="6" t="n"/>
      <c r="B172" s="7" t="n"/>
      <c r="C172" s="6" t="n"/>
      <c r="D172">
        <f>SUMIF('Sales Log'!$B:$B,A172,'Sales Log'!$D:$D)</f>
        <v/>
      </c>
      <c r="E172">
        <f>IF(A172="","",C172-D172)</f>
        <v/>
      </c>
      <c r="F172" s="6" t="n"/>
      <c r="G172">
        <f>IF(A172="","",IF(E172&lt;=F172,"REORDER","OK"))</f>
        <v/>
      </c>
    </row>
    <row r="173">
      <c r="A173" s="6" t="n"/>
      <c r="B173" s="7" t="n"/>
      <c r="C173" s="6" t="n"/>
      <c r="D173">
        <f>SUMIF('Sales Log'!$B:$B,A173,'Sales Log'!$D:$D)</f>
        <v/>
      </c>
      <c r="E173">
        <f>IF(A173="","",C173-D173)</f>
        <v/>
      </c>
      <c r="F173" s="6" t="n"/>
      <c r="G173">
        <f>IF(A173="","",IF(E173&lt;=F173,"REORDER","OK"))</f>
        <v/>
      </c>
    </row>
    <row r="174">
      <c r="A174" s="6" t="n"/>
      <c r="B174" s="7" t="n"/>
      <c r="C174" s="6" t="n"/>
      <c r="D174">
        <f>SUMIF('Sales Log'!$B:$B,A174,'Sales Log'!$D:$D)</f>
        <v/>
      </c>
      <c r="E174">
        <f>IF(A174="","",C174-D174)</f>
        <v/>
      </c>
      <c r="F174" s="6" t="n"/>
      <c r="G174">
        <f>IF(A174="","",IF(E174&lt;=F174,"REORDER","OK"))</f>
        <v/>
      </c>
    </row>
    <row r="175">
      <c r="A175" s="6" t="n"/>
      <c r="B175" s="7" t="n"/>
      <c r="C175" s="6" t="n"/>
      <c r="D175">
        <f>SUMIF('Sales Log'!$B:$B,A175,'Sales Log'!$D:$D)</f>
        <v/>
      </c>
      <c r="E175">
        <f>IF(A175="","",C175-D175)</f>
        <v/>
      </c>
      <c r="F175" s="6" t="n"/>
      <c r="G175">
        <f>IF(A175="","",IF(E175&lt;=F175,"REORDER","OK"))</f>
        <v/>
      </c>
    </row>
    <row r="176">
      <c r="A176" s="6" t="n"/>
      <c r="B176" s="7" t="n"/>
      <c r="C176" s="6" t="n"/>
      <c r="D176">
        <f>SUMIF('Sales Log'!$B:$B,A176,'Sales Log'!$D:$D)</f>
        <v/>
      </c>
      <c r="E176">
        <f>IF(A176="","",C176-D176)</f>
        <v/>
      </c>
      <c r="F176" s="6" t="n"/>
      <c r="G176">
        <f>IF(A176="","",IF(E176&lt;=F176,"REORDER","OK"))</f>
        <v/>
      </c>
    </row>
    <row r="177">
      <c r="A177" s="6" t="n"/>
      <c r="B177" s="7" t="n"/>
      <c r="C177" s="6" t="n"/>
      <c r="D177">
        <f>SUMIF('Sales Log'!$B:$B,A177,'Sales Log'!$D:$D)</f>
        <v/>
      </c>
      <c r="E177">
        <f>IF(A177="","",C177-D177)</f>
        <v/>
      </c>
      <c r="F177" s="6" t="n"/>
      <c r="G177">
        <f>IF(A177="","",IF(E177&lt;=F177,"REORDER","OK"))</f>
        <v/>
      </c>
    </row>
    <row r="178">
      <c r="A178" s="6" t="n"/>
      <c r="B178" s="7" t="n"/>
      <c r="C178" s="6" t="n"/>
      <c r="D178">
        <f>SUMIF('Sales Log'!$B:$B,A178,'Sales Log'!$D:$D)</f>
        <v/>
      </c>
      <c r="E178">
        <f>IF(A178="","",C178-D178)</f>
        <v/>
      </c>
      <c r="F178" s="6" t="n"/>
      <c r="G178">
        <f>IF(A178="","",IF(E178&lt;=F178,"REORDER","OK"))</f>
        <v/>
      </c>
    </row>
    <row r="179">
      <c r="A179" s="6" t="n"/>
      <c r="B179" s="7" t="n"/>
      <c r="C179" s="6" t="n"/>
      <c r="D179">
        <f>SUMIF('Sales Log'!$B:$B,A179,'Sales Log'!$D:$D)</f>
        <v/>
      </c>
      <c r="E179">
        <f>IF(A179="","",C179-D179)</f>
        <v/>
      </c>
      <c r="F179" s="6" t="n"/>
      <c r="G179">
        <f>IF(A179="","",IF(E179&lt;=F179,"REORDER","OK"))</f>
        <v/>
      </c>
    </row>
    <row r="180">
      <c r="A180" s="6" t="n"/>
      <c r="B180" s="7" t="n"/>
      <c r="C180" s="6" t="n"/>
      <c r="D180">
        <f>SUMIF('Sales Log'!$B:$B,A180,'Sales Log'!$D:$D)</f>
        <v/>
      </c>
      <c r="E180">
        <f>IF(A180="","",C180-D180)</f>
        <v/>
      </c>
      <c r="F180" s="6" t="n"/>
      <c r="G180">
        <f>IF(A180="","",IF(E180&lt;=F180,"REORDER","OK"))</f>
        <v/>
      </c>
    </row>
    <row r="181">
      <c r="A181" s="6" t="n"/>
      <c r="B181" s="7" t="n"/>
      <c r="C181" s="6" t="n"/>
      <c r="D181">
        <f>SUMIF('Sales Log'!$B:$B,A181,'Sales Log'!$D:$D)</f>
        <v/>
      </c>
      <c r="E181">
        <f>IF(A181="","",C181-D181)</f>
        <v/>
      </c>
      <c r="F181" s="6" t="n"/>
      <c r="G181">
        <f>IF(A181="","",IF(E181&lt;=F181,"REORDER","OK"))</f>
        <v/>
      </c>
    </row>
    <row r="182">
      <c r="A182" s="6" t="n"/>
      <c r="B182" s="7" t="n"/>
      <c r="C182" s="6" t="n"/>
      <c r="D182">
        <f>SUMIF('Sales Log'!$B:$B,A182,'Sales Log'!$D:$D)</f>
        <v/>
      </c>
      <c r="E182">
        <f>IF(A182="","",C182-D182)</f>
        <v/>
      </c>
      <c r="F182" s="6" t="n"/>
      <c r="G182">
        <f>IF(A182="","",IF(E182&lt;=F182,"REORDER","OK"))</f>
        <v/>
      </c>
    </row>
    <row r="183">
      <c r="A183" s="6" t="n"/>
      <c r="B183" s="7" t="n"/>
      <c r="C183" s="6" t="n"/>
      <c r="D183">
        <f>SUMIF('Sales Log'!$B:$B,A183,'Sales Log'!$D:$D)</f>
        <v/>
      </c>
      <c r="E183">
        <f>IF(A183="","",C183-D183)</f>
        <v/>
      </c>
      <c r="F183" s="6" t="n"/>
      <c r="G183">
        <f>IF(A183="","",IF(E183&lt;=F183,"REORDER","OK"))</f>
        <v/>
      </c>
    </row>
    <row r="184">
      <c r="A184" s="6" t="n"/>
      <c r="B184" s="7" t="n"/>
      <c r="C184" s="6" t="n"/>
      <c r="D184">
        <f>SUMIF('Sales Log'!$B:$B,A184,'Sales Log'!$D:$D)</f>
        <v/>
      </c>
      <c r="E184">
        <f>IF(A184="","",C184-D184)</f>
        <v/>
      </c>
      <c r="F184" s="6" t="n"/>
      <c r="G184">
        <f>IF(A184="","",IF(E184&lt;=F184,"REORDER","OK"))</f>
        <v/>
      </c>
    </row>
    <row r="185">
      <c r="A185" s="6" t="n"/>
      <c r="B185" s="7" t="n"/>
      <c r="C185" s="6" t="n"/>
      <c r="D185">
        <f>SUMIF('Sales Log'!$B:$B,A185,'Sales Log'!$D:$D)</f>
        <v/>
      </c>
      <c r="E185">
        <f>IF(A185="","",C185-D185)</f>
        <v/>
      </c>
      <c r="F185" s="6" t="n"/>
      <c r="G185">
        <f>IF(A185="","",IF(E185&lt;=F185,"REORDER","OK"))</f>
        <v/>
      </c>
    </row>
    <row r="186">
      <c r="A186" s="6" t="n"/>
      <c r="B186" s="7" t="n"/>
      <c r="C186" s="6" t="n"/>
      <c r="D186">
        <f>SUMIF('Sales Log'!$B:$B,A186,'Sales Log'!$D:$D)</f>
        <v/>
      </c>
      <c r="E186">
        <f>IF(A186="","",C186-D186)</f>
        <v/>
      </c>
      <c r="F186" s="6" t="n"/>
      <c r="G186">
        <f>IF(A186="","",IF(E186&lt;=F186,"REORDER","OK"))</f>
        <v/>
      </c>
    </row>
    <row r="187">
      <c r="A187" s="6" t="n"/>
      <c r="B187" s="7" t="n"/>
      <c r="C187" s="6" t="n"/>
      <c r="D187">
        <f>SUMIF('Sales Log'!$B:$B,A187,'Sales Log'!$D:$D)</f>
        <v/>
      </c>
      <c r="E187">
        <f>IF(A187="","",C187-D187)</f>
        <v/>
      </c>
      <c r="F187" s="6" t="n"/>
      <c r="G187">
        <f>IF(A187="","",IF(E187&lt;=F187,"REORDER","OK"))</f>
        <v/>
      </c>
    </row>
    <row r="188">
      <c r="A188" s="6" t="n"/>
      <c r="B188" s="7" t="n"/>
      <c r="C188" s="6" t="n"/>
      <c r="D188">
        <f>SUMIF('Sales Log'!$B:$B,A188,'Sales Log'!$D:$D)</f>
        <v/>
      </c>
      <c r="E188">
        <f>IF(A188="","",C188-D188)</f>
        <v/>
      </c>
      <c r="F188" s="6" t="n"/>
      <c r="G188">
        <f>IF(A188="","",IF(E188&lt;=F188,"REORDER","OK"))</f>
        <v/>
      </c>
    </row>
    <row r="189">
      <c r="A189" s="6" t="n"/>
      <c r="B189" s="7" t="n"/>
      <c r="C189" s="6" t="n"/>
      <c r="D189">
        <f>SUMIF('Sales Log'!$B:$B,A189,'Sales Log'!$D:$D)</f>
        <v/>
      </c>
      <c r="E189">
        <f>IF(A189="","",C189-D189)</f>
        <v/>
      </c>
      <c r="F189" s="6" t="n"/>
      <c r="G189">
        <f>IF(A189="","",IF(E189&lt;=F189,"REORDER","OK"))</f>
        <v/>
      </c>
    </row>
    <row r="190">
      <c r="A190" s="6" t="n"/>
      <c r="B190" s="7" t="n"/>
      <c r="C190" s="6" t="n"/>
      <c r="D190">
        <f>SUMIF('Sales Log'!$B:$B,A190,'Sales Log'!$D:$D)</f>
        <v/>
      </c>
      <c r="E190">
        <f>IF(A190="","",C190-D190)</f>
        <v/>
      </c>
      <c r="F190" s="6" t="n"/>
      <c r="G190">
        <f>IF(A190="","",IF(E190&lt;=F190,"REORDER","OK"))</f>
        <v/>
      </c>
    </row>
    <row r="191">
      <c r="A191" s="6" t="n"/>
      <c r="B191" s="7" t="n"/>
      <c r="C191" s="6" t="n"/>
      <c r="D191">
        <f>SUMIF('Sales Log'!$B:$B,A191,'Sales Log'!$D:$D)</f>
        <v/>
      </c>
      <c r="E191">
        <f>IF(A191="","",C191-D191)</f>
        <v/>
      </c>
      <c r="F191" s="6" t="n"/>
      <c r="G191">
        <f>IF(A191="","",IF(E191&lt;=F191,"REORDER","OK"))</f>
        <v/>
      </c>
    </row>
    <row r="192">
      <c r="A192" s="6" t="n"/>
      <c r="B192" s="7" t="n"/>
      <c r="C192" s="6" t="n"/>
      <c r="D192">
        <f>SUMIF('Sales Log'!$B:$B,A192,'Sales Log'!$D:$D)</f>
        <v/>
      </c>
      <c r="E192">
        <f>IF(A192="","",C192-D192)</f>
        <v/>
      </c>
      <c r="F192" s="6" t="n"/>
      <c r="G192">
        <f>IF(A192="","",IF(E192&lt;=F192,"REORDER","OK"))</f>
        <v/>
      </c>
    </row>
    <row r="193">
      <c r="A193" s="6" t="n"/>
      <c r="B193" s="7" t="n"/>
      <c r="C193" s="6" t="n"/>
      <c r="D193">
        <f>SUMIF('Sales Log'!$B:$B,A193,'Sales Log'!$D:$D)</f>
        <v/>
      </c>
      <c r="E193">
        <f>IF(A193="","",C193-D193)</f>
        <v/>
      </c>
      <c r="F193" s="6" t="n"/>
      <c r="G193">
        <f>IF(A193="","",IF(E193&lt;=F193,"REORDER","OK"))</f>
        <v/>
      </c>
    </row>
    <row r="194">
      <c r="A194" s="6" t="n"/>
      <c r="B194" s="7" t="n"/>
      <c r="C194" s="6" t="n"/>
      <c r="D194">
        <f>SUMIF('Sales Log'!$B:$B,A194,'Sales Log'!$D:$D)</f>
        <v/>
      </c>
      <c r="E194">
        <f>IF(A194="","",C194-D194)</f>
        <v/>
      </c>
      <c r="F194" s="6" t="n"/>
      <c r="G194">
        <f>IF(A194="","",IF(E194&lt;=F194,"REORDER","OK"))</f>
        <v/>
      </c>
    </row>
    <row r="195">
      <c r="A195" s="6" t="n"/>
      <c r="B195" s="7" t="n"/>
      <c r="C195" s="6" t="n"/>
      <c r="D195">
        <f>SUMIF('Sales Log'!$B:$B,A195,'Sales Log'!$D:$D)</f>
        <v/>
      </c>
      <c r="E195">
        <f>IF(A195="","",C195-D195)</f>
        <v/>
      </c>
      <c r="F195" s="6" t="n"/>
      <c r="G195">
        <f>IF(A195="","",IF(E195&lt;=F195,"REORDER","OK"))</f>
        <v/>
      </c>
    </row>
    <row r="196">
      <c r="A196" s="6" t="n"/>
      <c r="B196" s="7" t="n"/>
      <c r="C196" s="6" t="n"/>
      <c r="D196">
        <f>SUMIF('Sales Log'!$B:$B,A196,'Sales Log'!$D:$D)</f>
        <v/>
      </c>
      <c r="E196">
        <f>IF(A196="","",C196-D196)</f>
        <v/>
      </c>
      <c r="F196" s="6" t="n"/>
      <c r="G196">
        <f>IF(A196="","",IF(E196&lt;=F196,"REORDER","OK"))</f>
        <v/>
      </c>
    </row>
    <row r="197">
      <c r="A197" s="6" t="n"/>
      <c r="B197" s="7" t="n"/>
      <c r="C197" s="6" t="n"/>
      <c r="D197">
        <f>SUMIF('Sales Log'!$B:$B,A197,'Sales Log'!$D:$D)</f>
        <v/>
      </c>
      <c r="E197">
        <f>IF(A197="","",C197-D197)</f>
        <v/>
      </c>
      <c r="F197" s="6" t="n"/>
      <c r="G197">
        <f>IF(A197="","",IF(E197&lt;=F197,"REORDER","OK"))</f>
        <v/>
      </c>
    </row>
    <row r="198">
      <c r="A198" s="6" t="n"/>
      <c r="B198" s="7" t="n"/>
      <c r="C198" s="6" t="n"/>
      <c r="D198">
        <f>SUMIF('Sales Log'!$B:$B,A198,'Sales Log'!$D:$D)</f>
        <v/>
      </c>
      <c r="E198">
        <f>IF(A198="","",C198-D198)</f>
        <v/>
      </c>
      <c r="F198" s="6" t="n"/>
      <c r="G198">
        <f>IF(A198="","",IF(E198&lt;=F198,"REORDER","OK"))</f>
        <v/>
      </c>
    </row>
    <row r="199">
      <c r="A199" s="6" t="n"/>
      <c r="B199" s="7" t="n"/>
      <c r="C199" s="6" t="n"/>
      <c r="D199">
        <f>SUMIF('Sales Log'!$B:$B,A199,'Sales Log'!$D:$D)</f>
        <v/>
      </c>
      <c r="E199">
        <f>IF(A199="","",C199-D199)</f>
        <v/>
      </c>
      <c r="F199" s="6" t="n"/>
      <c r="G199">
        <f>IF(A199="","",IF(E199&lt;=F199,"REORDER","OK"))</f>
        <v/>
      </c>
    </row>
    <row r="200">
      <c r="A200" s="6" t="n"/>
      <c r="B200" s="7" t="n"/>
      <c r="C200" s="6" t="n"/>
      <c r="D200">
        <f>SUMIF('Sales Log'!$B:$B,A200,'Sales Log'!$D:$D)</f>
        <v/>
      </c>
      <c r="E200">
        <f>IF(A200="","",C200-D200)</f>
        <v/>
      </c>
      <c r="F200" s="6" t="n"/>
      <c r="G200">
        <f>IF(A200="","",IF(E200&lt;=F200,"REORDER","OK"))</f>
        <v/>
      </c>
    </row>
    <row r="201">
      <c r="A201" s="6" t="n"/>
      <c r="B201" s="7" t="n"/>
      <c r="C201" s="6" t="n"/>
      <c r="D201">
        <f>SUMIF('Sales Log'!$B:$B,A201,'Sales Log'!$D:$D)</f>
        <v/>
      </c>
      <c r="E201">
        <f>IF(A201="","",C201-D201)</f>
        <v/>
      </c>
      <c r="F201" s="6" t="n"/>
      <c r="G201">
        <f>IF(A201="","",IF(E201&lt;=F201,"REORDER","OK"))</f>
        <v/>
      </c>
    </row>
  </sheetData>
  <conditionalFormatting sqref="G2:G201">
    <cfRule type="cellIs" priority="1" operator="equal" dxfId="0">
      <formula>"REORDER"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7" customWidth="1" min="4" max="4"/>
    <col width="14" customWidth="1" min="5" max="5"/>
    <col width="16" customWidth="1" min="6" max="6"/>
    <col width="16" customWidth="1" min="7" max="7"/>
    <col width="13" customWidth="1" min="8" max="8"/>
    <col width="12" customWidth="1" min="9" max="9"/>
    <col width="14" customWidth="1" min="10" max="10"/>
    <col width="10" customWidth="1" min="11" max="11"/>
  </cols>
  <sheetData>
    <row r="1">
      <c r="A1" s="5" t="inlineStr">
        <is>
          <t>Date</t>
        </is>
      </c>
      <c r="B1" s="5" t="inlineStr">
        <is>
          <t>Product (match Inventory)</t>
        </is>
      </c>
      <c r="C1" s="5" t="inlineStr">
        <is>
          <t>Marketplace</t>
        </is>
      </c>
      <c r="D1" s="5" t="inlineStr">
        <is>
          <t>Qty</t>
        </is>
      </c>
      <c r="E1" s="5" t="inlineStr">
        <is>
          <t>Item price ($)</t>
        </is>
      </c>
      <c r="F1" s="5" t="inlineStr">
        <is>
          <t>Shipping charged ($)</t>
        </is>
      </c>
      <c r="G1" s="5" t="inlineStr">
        <is>
          <t>Your shipping cost ($)</t>
        </is>
      </c>
      <c r="H1" s="5" t="inlineStr">
        <is>
          <t>Item cost ($)</t>
        </is>
      </c>
      <c r="I1" s="5" t="inlineStr">
        <is>
          <t>Fees ($)</t>
        </is>
      </c>
      <c r="J1" s="5" t="inlineStr">
        <is>
          <t>Net profit ($)</t>
        </is>
      </c>
      <c r="K1" s="5" t="inlineStr">
        <is>
          <t>Margin</t>
        </is>
      </c>
    </row>
    <row r="2">
      <c r="A2" s="8" t="n"/>
      <c r="B2" s="6" t="n"/>
      <c r="C2" s="6" t="n"/>
      <c r="D2" s="6" t="n"/>
      <c r="E2" s="7" t="n"/>
      <c r="F2" s="7" t="n"/>
      <c r="G2" s="7" t="n"/>
      <c r="H2" s="3">
        <f>IFERROR(VLOOKUP(B2,Inventory!$A:$B,2,FALSE)*D2,0)</f>
        <v/>
      </c>
      <c r="I2" s="3">
        <f>IF(C2="",0,IFERROR(VLOOKUP(C2,Settings!$A$2:$F$5,2,FALSE)+(E2*D2+F2)*VLOOKUP(C2,Settings!$A$2:$F$5,3,FALSE)/100+(E2*D2+F2)*VLOOKUP(C2,Settings!$A$2:$F$5,4,FALSE)/100+VLOOKUP(C2,Settings!$A$2:$F$5,5,FALSE)+VLOOKUP(C2,Settings!$A$2:$F$5,6,FALSE),0))</f>
        <v/>
      </c>
      <c r="J2" s="3">
        <f>IF(B2="","",IF(ISNA(MATCH(B2,Inventory!$A$2:$A$201,0)),"Check product",E2*D2+F2-I2-G2-H2))</f>
        <v/>
      </c>
      <c r="K2" s="4">
        <f>IF(OR(B2="",NOT(ISNUMBER(J2)),E2*D2+F2=0),"",J2/(E2*D2+F2))</f>
        <v/>
      </c>
    </row>
    <row r="3">
      <c r="A3" s="8" t="n"/>
      <c r="B3" s="6" t="n"/>
      <c r="C3" s="6" t="n"/>
      <c r="D3" s="6" t="n"/>
      <c r="E3" s="7" t="n"/>
      <c r="F3" s="7" t="n"/>
      <c r="G3" s="7" t="n"/>
      <c r="H3" s="3">
        <f>IFERROR(VLOOKUP(B3,Inventory!$A:$B,2,FALSE)*D3,0)</f>
        <v/>
      </c>
      <c r="I3" s="3">
        <f>IF(C3="",0,IFERROR(VLOOKUP(C3,Settings!$A$2:$F$5,2,FALSE)+(E3*D3+F3)*VLOOKUP(C3,Settings!$A$2:$F$5,3,FALSE)/100+(E3*D3+F3)*VLOOKUP(C3,Settings!$A$2:$F$5,4,FALSE)/100+VLOOKUP(C3,Settings!$A$2:$F$5,5,FALSE)+VLOOKUP(C3,Settings!$A$2:$F$5,6,FALSE),0))</f>
        <v/>
      </c>
      <c r="J3" s="3">
        <f>IF(B3="","",IF(ISNA(MATCH(B3,Inventory!$A$2:$A$201,0)),"Check product",E3*D3+F3-I3-G3-H3))</f>
        <v/>
      </c>
      <c r="K3" s="4">
        <f>IF(OR(B3="",NOT(ISNUMBER(J3)),E3*D3+F3=0),"",J3/(E3*D3+F3))</f>
        <v/>
      </c>
    </row>
    <row r="4">
      <c r="A4" s="8" t="n"/>
      <c r="B4" s="6" t="n"/>
      <c r="C4" s="6" t="n"/>
      <c r="D4" s="6" t="n"/>
      <c r="E4" s="7" t="n"/>
      <c r="F4" s="7" t="n"/>
      <c r="G4" s="7" t="n"/>
      <c r="H4" s="3">
        <f>IFERROR(VLOOKUP(B4,Inventory!$A:$B,2,FALSE)*D4,0)</f>
        <v/>
      </c>
      <c r="I4" s="3">
        <f>IF(C4="",0,IFERROR(VLOOKUP(C4,Settings!$A$2:$F$5,2,FALSE)+(E4*D4+F4)*VLOOKUP(C4,Settings!$A$2:$F$5,3,FALSE)/100+(E4*D4+F4)*VLOOKUP(C4,Settings!$A$2:$F$5,4,FALSE)/100+VLOOKUP(C4,Settings!$A$2:$F$5,5,FALSE)+VLOOKUP(C4,Settings!$A$2:$F$5,6,FALSE),0))</f>
        <v/>
      </c>
      <c r="J4" s="3">
        <f>IF(B4="","",IF(ISNA(MATCH(B4,Inventory!$A$2:$A$201,0)),"Check product",E4*D4+F4-I4-G4-H4))</f>
        <v/>
      </c>
      <c r="K4" s="4">
        <f>IF(OR(B4="",NOT(ISNUMBER(J4)),E4*D4+F4=0),"",J4/(E4*D4+F4))</f>
        <v/>
      </c>
    </row>
    <row r="5">
      <c r="A5" s="8" t="n"/>
      <c r="B5" s="6" t="n"/>
      <c r="C5" s="6" t="n"/>
      <c r="D5" s="6" t="n"/>
      <c r="E5" s="7" t="n"/>
      <c r="F5" s="7" t="n"/>
      <c r="G5" s="7" t="n"/>
      <c r="H5" s="3">
        <f>IFERROR(VLOOKUP(B5,Inventory!$A:$B,2,FALSE)*D5,0)</f>
        <v/>
      </c>
      <c r="I5" s="3">
        <f>IF(C5="",0,IFERROR(VLOOKUP(C5,Settings!$A$2:$F$5,2,FALSE)+(E5*D5+F5)*VLOOKUP(C5,Settings!$A$2:$F$5,3,FALSE)/100+(E5*D5+F5)*VLOOKUP(C5,Settings!$A$2:$F$5,4,FALSE)/100+VLOOKUP(C5,Settings!$A$2:$F$5,5,FALSE)+VLOOKUP(C5,Settings!$A$2:$F$5,6,FALSE),0))</f>
        <v/>
      </c>
      <c r="J5" s="3">
        <f>IF(B5="","",IF(ISNA(MATCH(B5,Inventory!$A$2:$A$201,0)),"Check product",E5*D5+F5-I5-G5-H5))</f>
        <v/>
      </c>
      <c r="K5" s="4">
        <f>IF(OR(B5="",NOT(ISNUMBER(J5)),E5*D5+F5=0),"",J5/(E5*D5+F5))</f>
        <v/>
      </c>
    </row>
    <row r="6">
      <c r="A6" s="8" t="n"/>
      <c r="B6" s="6" t="n"/>
      <c r="C6" s="6" t="n"/>
      <c r="D6" s="6" t="n"/>
      <c r="E6" s="7" t="n"/>
      <c r="F6" s="7" t="n"/>
      <c r="G6" s="7" t="n"/>
      <c r="H6" s="3">
        <f>IFERROR(VLOOKUP(B6,Inventory!$A:$B,2,FALSE)*D6,0)</f>
        <v/>
      </c>
      <c r="I6" s="3">
        <f>IF(C6="",0,IFERROR(VLOOKUP(C6,Settings!$A$2:$F$5,2,FALSE)+(E6*D6+F6)*VLOOKUP(C6,Settings!$A$2:$F$5,3,FALSE)/100+(E6*D6+F6)*VLOOKUP(C6,Settings!$A$2:$F$5,4,FALSE)/100+VLOOKUP(C6,Settings!$A$2:$F$5,5,FALSE)+VLOOKUP(C6,Settings!$A$2:$F$5,6,FALSE),0))</f>
        <v/>
      </c>
      <c r="J6" s="3">
        <f>IF(B6="","",IF(ISNA(MATCH(B6,Inventory!$A$2:$A$201,0)),"Check product",E6*D6+F6-I6-G6-H6))</f>
        <v/>
      </c>
      <c r="K6" s="4">
        <f>IF(OR(B6="",NOT(ISNUMBER(J6)),E6*D6+F6=0),"",J6/(E6*D6+F6))</f>
        <v/>
      </c>
    </row>
    <row r="7">
      <c r="A7" s="8" t="n"/>
      <c r="B7" s="6" t="n"/>
      <c r="C7" s="6" t="n"/>
      <c r="D7" s="6" t="n"/>
      <c r="E7" s="7" t="n"/>
      <c r="F7" s="7" t="n"/>
      <c r="G7" s="7" t="n"/>
      <c r="H7" s="3">
        <f>IFERROR(VLOOKUP(B7,Inventory!$A:$B,2,FALSE)*D7,0)</f>
        <v/>
      </c>
      <c r="I7" s="3">
        <f>IF(C7="",0,IFERROR(VLOOKUP(C7,Settings!$A$2:$F$5,2,FALSE)+(E7*D7+F7)*VLOOKUP(C7,Settings!$A$2:$F$5,3,FALSE)/100+(E7*D7+F7)*VLOOKUP(C7,Settings!$A$2:$F$5,4,FALSE)/100+VLOOKUP(C7,Settings!$A$2:$F$5,5,FALSE)+VLOOKUP(C7,Settings!$A$2:$F$5,6,FALSE),0))</f>
        <v/>
      </c>
      <c r="J7" s="3">
        <f>IF(B7="","",IF(ISNA(MATCH(B7,Inventory!$A$2:$A$201,0)),"Check product",E7*D7+F7-I7-G7-H7))</f>
        <v/>
      </c>
      <c r="K7" s="4">
        <f>IF(OR(B7="",NOT(ISNUMBER(J7)),E7*D7+F7=0),"",J7/(E7*D7+F7))</f>
        <v/>
      </c>
    </row>
    <row r="8">
      <c r="A8" s="8" t="n"/>
      <c r="B8" s="6" t="n"/>
      <c r="C8" s="6" t="n"/>
      <c r="D8" s="6" t="n"/>
      <c r="E8" s="7" t="n"/>
      <c r="F8" s="7" t="n"/>
      <c r="G8" s="7" t="n"/>
      <c r="H8" s="3">
        <f>IFERROR(VLOOKUP(B8,Inventory!$A:$B,2,FALSE)*D8,0)</f>
        <v/>
      </c>
      <c r="I8" s="3">
        <f>IF(C8="",0,IFERROR(VLOOKUP(C8,Settings!$A$2:$F$5,2,FALSE)+(E8*D8+F8)*VLOOKUP(C8,Settings!$A$2:$F$5,3,FALSE)/100+(E8*D8+F8)*VLOOKUP(C8,Settings!$A$2:$F$5,4,FALSE)/100+VLOOKUP(C8,Settings!$A$2:$F$5,5,FALSE)+VLOOKUP(C8,Settings!$A$2:$F$5,6,FALSE),0))</f>
        <v/>
      </c>
      <c r="J8" s="3">
        <f>IF(B8="","",IF(ISNA(MATCH(B8,Inventory!$A$2:$A$201,0)),"Check product",E8*D8+F8-I8-G8-H8))</f>
        <v/>
      </c>
      <c r="K8" s="4">
        <f>IF(OR(B8="",NOT(ISNUMBER(J8)),E8*D8+F8=0),"",J8/(E8*D8+F8))</f>
        <v/>
      </c>
    </row>
    <row r="9">
      <c r="A9" s="8" t="n"/>
      <c r="B9" s="6" t="n"/>
      <c r="C9" s="6" t="n"/>
      <c r="D9" s="6" t="n"/>
      <c r="E9" s="7" t="n"/>
      <c r="F9" s="7" t="n"/>
      <c r="G9" s="7" t="n"/>
      <c r="H9" s="3">
        <f>IFERROR(VLOOKUP(B9,Inventory!$A:$B,2,FALSE)*D9,0)</f>
        <v/>
      </c>
      <c r="I9" s="3">
        <f>IF(C9="",0,IFERROR(VLOOKUP(C9,Settings!$A$2:$F$5,2,FALSE)+(E9*D9+F9)*VLOOKUP(C9,Settings!$A$2:$F$5,3,FALSE)/100+(E9*D9+F9)*VLOOKUP(C9,Settings!$A$2:$F$5,4,FALSE)/100+VLOOKUP(C9,Settings!$A$2:$F$5,5,FALSE)+VLOOKUP(C9,Settings!$A$2:$F$5,6,FALSE),0))</f>
        <v/>
      </c>
      <c r="J9" s="3">
        <f>IF(B9="","",IF(ISNA(MATCH(B9,Inventory!$A$2:$A$201,0)),"Check product",E9*D9+F9-I9-G9-H9))</f>
        <v/>
      </c>
      <c r="K9" s="4">
        <f>IF(OR(B9="",NOT(ISNUMBER(J9)),E9*D9+F9=0),"",J9/(E9*D9+F9))</f>
        <v/>
      </c>
    </row>
    <row r="10">
      <c r="A10" s="8" t="n"/>
      <c r="B10" s="6" t="n"/>
      <c r="C10" s="6" t="n"/>
      <c r="D10" s="6" t="n"/>
      <c r="E10" s="7" t="n"/>
      <c r="F10" s="7" t="n"/>
      <c r="G10" s="7" t="n"/>
      <c r="H10" s="3">
        <f>IFERROR(VLOOKUP(B10,Inventory!$A:$B,2,FALSE)*D10,0)</f>
        <v/>
      </c>
      <c r="I10" s="3">
        <f>IF(C10="",0,IFERROR(VLOOKUP(C10,Settings!$A$2:$F$5,2,FALSE)+(E10*D10+F10)*VLOOKUP(C10,Settings!$A$2:$F$5,3,FALSE)/100+(E10*D10+F10)*VLOOKUP(C10,Settings!$A$2:$F$5,4,FALSE)/100+VLOOKUP(C10,Settings!$A$2:$F$5,5,FALSE)+VLOOKUP(C10,Settings!$A$2:$F$5,6,FALSE),0))</f>
        <v/>
      </c>
      <c r="J10" s="3">
        <f>IF(B10="","",IF(ISNA(MATCH(B10,Inventory!$A$2:$A$201,0)),"Check product",E10*D10+F10-I10-G10-H10))</f>
        <v/>
      </c>
      <c r="K10" s="4">
        <f>IF(OR(B10="",NOT(ISNUMBER(J10)),E10*D10+F10=0),"",J10/(E10*D10+F10))</f>
        <v/>
      </c>
    </row>
    <row r="11">
      <c r="A11" s="8" t="n"/>
      <c r="B11" s="6" t="n"/>
      <c r="C11" s="6" t="n"/>
      <c r="D11" s="6" t="n"/>
      <c r="E11" s="7" t="n"/>
      <c r="F11" s="7" t="n"/>
      <c r="G11" s="7" t="n"/>
      <c r="H11" s="3">
        <f>IFERROR(VLOOKUP(B11,Inventory!$A:$B,2,FALSE)*D11,0)</f>
        <v/>
      </c>
      <c r="I11" s="3">
        <f>IF(C11="",0,IFERROR(VLOOKUP(C11,Settings!$A$2:$F$5,2,FALSE)+(E11*D11+F11)*VLOOKUP(C11,Settings!$A$2:$F$5,3,FALSE)/100+(E11*D11+F11)*VLOOKUP(C11,Settings!$A$2:$F$5,4,FALSE)/100+VLOOKUP(C11,Settings!$A$2:$F$5,5,FALSE)+VLOOKUP(C11,Settings!$A$2:$F$5,6,FALSE),0))</f>
        <v/>
      </c>
      <c r="J11" s="3">
        <f>IF(B11="","",IF(ISNA(MATCH(B11,Inventory!$A$2:$A$201,0)),"Check product",E11*D11+F11-I11-G11-H11))</f>
        <v/>
      </c>
      <c r="K11" s="4">
        <f>IF(OR(B11="",NOT(ISNUMBER(J11)),E11*D11+F11=0),"",J11/(E11*D11+F11))</f>
        <v/>
      </c>
    </row>
    <row r="12">
      <c r="A12" s="8" t="n"/>
      <c r="B12" s="6" t="n"/>
      <c r="C12" s="6" t="n"/>
      <c r="D12" s="6" t="n"/>
      <c r="E12" s="7" t="n"/>
      <c r="F12" s="7" t="n"/>
      <c r="G12" s="7" t="n"/>
      <c r="H12" s="3">
        <f>IFERROR(VLOOKUP(B12,Inventory!$A:$B,2,FALSE)*D12,0)</f>
        <v/>
      </c>
      <c r="I12" s="3">
        <f>IF(C12="",0,IFERROR(VLOOKUP(C12,Settings!$A$2:$F$5,2,FALSE)+(E12*D12+F12)*VLOOKUP(C12,Settings!$A$2:$F$5,3,FALSE)/100+(E12*D12+F12)*VLOOKUP(C12,Settings!$A$2:$F$5,4,FALSE)/100+VLOOKUP(C12,Settings!$A$2:$F$5,5,FALSE)+VLOOKUP(C12,Settings!$A$2:$F$5,6,FALSE),0))</f>
        <v/>
      </c>
      <c r="J12" s="3">
        <f>IF(B12="","",IF(ISNA(MATCH(B12,Inventory!$A$2:$A$201,0)),"Check product",E12*D12+F12-I12-G12-H12))</f>
        <v/>
      </c>
      <c r="K12" s="4">
        <f>IF(OR(B12="",NOT(ISNUMBER(J12)),E12*D12+F12=0),"",J12/(E12*D12+F12))</f>
        <v/>
      </c>
    </row>
    <row r="13">
      <c r="A13" s="8" t="n"/>
      <c r="B13" s="6" t="n"/>
      <c r="C13" s="6" t="n"/>
      <c r="D13" s="6" t="n"/>
      <c r="E13" s="7" t="n"/>
      <c r="F13" s="7" t="n"/>
      <c r="G13" s="7" t="n"/>
      <c r="H13" s="3">
        <f>IFERROR(VLOOKUP(B13,Inventory!$A:$B,2,FALSE)*D13,0)</f>
        <v/>
      </c>
      <c r="I13" s="3">
        <f>IF(C13="",0,IFERROR(VLOOKUP(C13,Settings!$A$2:$F$5,2,FALSE)+(E13*D13+F13)*VLOOKUP(C13,Settings!$A$2:$F$5,3,FALSE)/100+(E13*D13+F13)*VLOOKUP(C13,Settings!$A$2:$F$5,4,FALSE)/100+VLOOKUP(C13,Settings!$A$2:$F$5,5,FALSE)+VLOOKUP(C13,Settings!$A$2:$F$5,6,FALSE),0))</f>
        <v/>
      </c>
      <c r="J13" s="3">
        <f>IF(B13="","",IF(ISNA(MATCH(B13,Inventory!$A$2:$A$201,0)),"Check product",E13*D13+F13-I13-G13-H13))</f>
        <v/>
      </c>
      <c r="K13" s="4">
        <f>IF(OR(B13="",NOT(ISNUMBER(J13)),E13*D13+F13=0),"",J13/(E13*D13+F13))</f>
        <v/>
      </c>
    </row>
    <row r="14">
      <c r="A14" s="8" t="n"/>
      <c r="B14" s="6" t="n"/>
      <c r="C14" s="6" t="n"/>
      <c r="D14" s="6" t="n"/>
      <c r="E14" s="7" t="n"/>
      <c r="F14" s="7" t="n"/>
      <c r="G14" s="7" t="n"/>
      <c r="H14" s="3">
        <f>IFERROR(VLOOKUP(B14,Inventory!$A:$B,2,FALSE)*D14,0)</f>
        <v/>
      </c>
      <c r="I14" s="3">
        <f>IF(C14="",0,IFERROR(VLOOKUP(C14,Settings!$A$2:$F$5,2,FALSE)+(E14*D14+F14)*VLOOKUP(C14,Settings!$A$2:$F$5,3,FALSE)/100+(E14*D14+F14)*VLOOKUP(C14,Settings!$A$2:$F$5,4,FALSE)/100+VLOOKUP(C14,Settings!$A$2:$F$5,5,FALSE)+VLOOKUP(C14,Settings!$A$2:$F$5,6,FALSE),0))</f>
        <v/>
      </c>
      <c r="J14" s="3">
        <f>IF(B14="","",IF(ISNA(MATCH(B14,Inventory!$A$2:$A$201,0)),"Check product",E14*D14+F14-I14-G14-H14))</f>
        <v/>
      </c>
      <c r="K14" s="4">
        <f>IF(OR(B14="",NOT(ISNUMBER(J14)),E14*D14+F14=0),"",J14/(E14*D14+F14))</f>
        <v/>
      </c>
    </row>
    <row r="15">
      <c r="A15" s="8" t="n"/>
      <c r="B15" s="6" t="n"/>
      <c r="C15" s="6" t="n"/>
      <c r="D15" s="6" t="n"/>
      <c r="E15" s="7" t="n"/>
      <c r="F15" s="7" t="n"/>
      <c r="G15" s="7" t="n"/>
      <c r="H15" s="3">
        <f>IFERROR(VLOOKUP(B15,Inventory!$A:$B,2,FALSE)*D15,0)</f>
        <v/>
      </c>
      <c r="I15" s="3">
        <f>IF(C15="",0,IFERROR(VLOOKUP(C15,Settings!$A$2:$F$5,2,FALSE)+(E15*D15+F15)*VLOOKUP(C15,Settings!$A$2:$F$5,3,FALSE)/100+(E15*D15+F15)*VLOOKUP(C15,Settings!$A$2:$F$5,4,FALSE)/100+VLOOKUP(C15,Settings!$A$2:$F$5,5,FALSE)+VLOOKUP(C15,Settings!$A$2:$F$5,6,FALSE),0))</f>
        <v/>
      </c>
      <c r="J15" s="3">
        <f>IF(B15="","",IF(ISNA(MATCH(B15,Inventory!$A$2:$A$201,0)),"Check product",E15*D15+F15-I15-G15-H15))</f>
        <v/>
      </c>
      <c r="K15" s="4">
        <f>IF(OR(B15="",NOT(ISNUMBER(J15)),E15*D15+F15=0),"",J15/(E15*D15+F15))</f>
        <v/>
      </c>
    </row>
    <row r="16">
      <c r="A16" s="8" t="n"/>
      <c r="B16" s="6" t="n"/>
      <c r="C16" s="6" t="n"/>
      <c r="D16" s="6" t="n"/>
      <c r="E16" s="7" t="n"/>
      <c r="F16" s="7" t="n"/>
      <c r="G16" s="7" t="n"/>
      <c r="H16" s="3">
        <f>IFERROR(VLOOKUP(B16,Inventory!$A:$B,2,FALSE)*D16,0)</f>
        <v/>
      </c>
      <c r="I16" s="3">
        <f>IF(C16="",0,IFERROR(VLOOKUP(C16,Settings!$A$2:$F$5,2,FALSE)+(E16*D16+F16)*VLOOKUP(C16,Settings!$A$2:$F$5,3,FALSE)/100+(E16*D16+F16)*VLOOKUP(C16,Settings!$A$2:$F$5,4,FALSE)/100+VLOOKUP(C16,Settings!$A$2:$F$5,5,FALSE)+VLOOKUP(C16,Settings!$A$2:$F$5,6,FALSE),0))</f>
        <v/>
      </c>
      <c r="J16" s="3">
        <f>IF(B16="","",IF(ISNA(MATCH(B16,Inventory!$A$2:$A$201,0)),"Check product",E16*D16+F16-I16-G16-H16))</f>
        <v/>
      </c>
      <c r="K16" s="4">
        <f>IF(OR(B16="",NOT(ISNUMBER(J16)),E16*D16+F16=0),"",J16/(E16*D16+F16))</f>
        <v/>
      </c>
    </row>
    <row r="17">
      <c r="A17" s="8" t="n"/>
      <c r="B17" s="6" t="n"/>
      <c r="C17" s="6" t="n"/>
      <c r="D17" s="6" t="n"/>
      <c r="E17" s="7" t="n"/>
      <c r="F17" s="7" t="n"/>
      <c r="G17" s="7" t="n"/>
      <c r="H17" s="3">
        <f>IFERROR(VLOOKUP(B17,Inventory!$A:$B,2,FALSE)*D17,0)</f>
        <v/>
      </c>
      <c r="I17" s="3">
        <f>IF(C17="",0,IFERROR(VLOOKUP(C17,Settings!$A$2:$F$5,2,FALSE)+(E17*D17+F17)*VLOOKUP(C17,Settings!$A$2:$F$5,3,FALSE)/100+(E17*D17+F17)*VLOOKUP(C17,Settings!$A$2:$F$5,4,FALSE)/100+VLOOKUP(C17,Settings!$A$2:$F$5,5,FALSE)+VLOOKUP(C17,Settings!$A$2:$F$5,6,FALSE),0))</f>
        <v/>
      </c>
      <c r="J17" s="3">
        <f>IF(B17="","",IF(ISNA(MATCH(B17,Inventory!$A$2:$A$201,0)),"Check product",E17*D17+F17-I17-G17-H17))</f>
        <v/>
      </c>
      <c r="K17" s="4">
        <f>IF(OR(B17="",NOT(ISNUMBER(J17)),E17*D17+F17=0),"",J17/(E17*D17+F17))</f>
        <v/>
      </c>
    </row>
    <row r="18">
      <c r="A18" s="8" t="n"/>
      <c r="B18" s="6" t="n"/>
      <c r="C18" s="6" t="n"/>
      <c r="D18" s="6" t="n"/>
      <c r="E18" s="7" t="n"/>
      <c r="F18" s="7" t="n"/>
      <c r="G18" s="7" t="n"/>
      <c r="H18" s="3">
        <f>IFERROR(VLOOKUP(B18,Inventory!$A:$B,2,FALSE)*D18,0)</f>
        <v/>
      </c>
      <c r="I18" s="3">
        <f>IF(C18="",0,IFERROR(VLOOKUP(C18,Settings!$A$2:$F$5,2,FALSE)+(E18*D18+F18)*VLOOKUP(C18,Settings!$A$2:$F$5,3,FALSE)/100+(E18*D18+F18)*VLOOKUP(C18,Settings!$A$2:$F$5,4,FALSE)/100+VLOOKUP(C18,Settings!$A$2:$F$5,5,FALSE)+VLOOKUP(C18,Settings!$A$2:$F$5,6,FALSE),0))</f>
        <v/>
      </c>
      <c r="J18" s="3">
        <f>IF(B18="","",IF(ISNA(MATCH(B18,Inventory!$A$2:$A$201,0)),"Check product",E18*D18+F18-I18-G18-H18))</f>
        <v/>
      </c>
      <c r="K18" s="4">
        <f>IF(OR(B18="",NOT(ISNUMBER(J18)),E18*D18+F18=0),"",J18/(E18*D18+F18))</f>
        <v/>
      </c>
    </row>
    <row r="19">
      <c r="A19" s="8" t="n"/>
      <c r="B19" s="6" t="n"/>
      <c r="C19" s="6" t="n"/>
      <c r="D19" s="6" t="n"/>
      <c r="E19" s="7" t="n"/>
      <c r="F19" s="7" t="n"/>
      <c r="G19" s="7" t="n"/>
      <c r="H19" s="3">
        <f>IFERROR(VLOOKUP(B19,Inventory!$A:$B,2,FALSE)*D19,0)</f>
        <v/>
      </c>
      <c r="I19" s="3">
        <f>IF(C19="",0,IFERROR(VLOOKUP(C19,Settings!$A$2:$F$5,2,FALSE)+(E19*D19+F19)*VLOOKUP(C19,Settings!$A$2:$F$5,3,FALSE)/100+(E19*D19+F19)*VLOOKUP(C19,Settings!$A$2:$F$5,4,FALSE)/100+VLOOKUP(C19,Settings!$A$2:$F$5,5,FALSE)+VLOOKUP(C19,Settings!$A$2:$F$5,6,FALSE),0))</f>
        <v/>
      </c>
      <c r="J19" s="3">
        <f>IF(B19="","",IF(ISNA(MATCH(B19,Inventory!$A$2:$A$201,0)),"Check product",E19*D19+F19-I19-G19-H19))</f>
        <v/>
      </c>
      <c r="K19" s="4">
        <f>IF(OR(B19="",NOT(ISNUMBER(J19)),E19*D19+F19=0),"",J19/(E19*D19+F19))</f>
        <v/>
      </c>
    </row>
    <row r="20">
      <c r="A20" s="8" t="n"/>
      <c r="B20" s="6" t="n"/>
      <c r="C20" s="6" t="n"/>
      <c r="D20" s="6" t="n"/>
      <c r="E20" s="7" t="n"/>
      <c r="F20" s="7" t="n"/>
      <c r="G20" s="7" t="n"/>
      <c r="H20" s="3">
        <f>IFERROR(VLOOKUP(B20,Inventory!$A:$B,2,FALSE)*D20,0)</f>
        <v/>
      </c>
      <c r="I20" s="3">
        <f>IF(C20="",0,IFERROR(VLOOKUP(C20,Settings!$A$2:$F$5,2,FALSE)+(E20*D20+F20)*VLOOKUP(C20,Settings!$A$2:$F$5,3,FALSE)/100+(E20*D20+F20)*VLOOKUP(C20,Settings!$A$2:$F$5,4,FALSE)/100+VLOOKUP(C20,Settings!$A$2:$F$5,5,FALSE)+VLOOKUP(C20,Settings!$A$2:$F$5,6,FALSE),0))</f>
        <v/>
      </c>
      <c r="J20" s="3">
        <f>IF(B20="","",IF(ISNA(MATCH(B20,Inventory!$A$2:$A$201,0)),"Check product",E20*D20+F20-I20-G20-H20))</f>
        <v/>
      </c>
      <c r="K20" s="4">
        <f>IF(OR(B20="",NOT(ISNUMBER(J20)),E20*D20+F20=0),"",J20/(E20*D20+F20))</f>
        <v/>
      </c>
    </row>
    <row r="21">
      <c r="A21" s="8" t="n"/>
      <c r="B21" s="6" t="n"/>
      <c r="C21" s="6" t="n"/>
      <c r="D21" s="6" t="n"/>
      <c r="E21" s="7" t="n"/>
      <c r="F21" s="7" t="n"/>
      <c r="G21" s="7" t="n"/>
      <c r="H21" s="3">
        <f>IFERROR(VLOOKUP(B21,Inventory!$A:$B,2,FALSE)*D21,0)</f>
        <v/>
      </c>
      <c r="I21" s="3">
        <f>IF(C21="",0,IFERROR(VLOOKUP(C21,Settings!$A$2:$F$5,2,FALSE)+(E21*D21+F21)*VLOOKUP(C21,Settings!$A$2:$F$5,3,FALSE)/100+(E21*D21+F21)*VLOOKUP(C21,Settings!$A$2:$F$5,4,FALSE)/100+VLOOKUP(C21,Settings!$A$2:$F$5,5,FALSE)+VLOOKUP(C21,Settings!$A$2:$F$5,6,FALSE),0))</f>
        <v/>
      </c>
      <c r="J21" s="3">
        <f>IF(B21="","",IF(ISNA(MATCH(B21,Inventory!$A$2:$A$201,0)),"Check product",E21*D21+F21-I21-G21-H21))</f>
        <v/>
      </c>
      <c r="K21" s="4">
        <f>IF(OR(B21="",NOT(ISNUMBER(J21)),E21*D21+F21=0),"",J21/(E21*D21+F21))</f>
        <v/>
      </c>
    </row>
    <row r="22">
      <c r="A22" s="8" t="n"/>
      <c r="B22" s="6" t="n"/>
      <c r="C22" s="6" t="n"/>
      <c r="D22" s="6" t="n"/>
      <c r="E22" s="7" t="n"/>
      <c r="F22" s="7" t="n"/>
      <c r="G22" s="7" t="n"/>
      <c r="H22" s="3">
        <f>IFERROR(VLOOKUP(B22,Inventory!$A:$B,2,FALSE)*D22,0)</f>
        <v/>
      </c>
      <c r="I22" s="3">
        <f>IF(C22="",0,IFERROR(VLOOKUP(C22,Settings!$A$2:$F$5,2,FALSE)+(E22*D22+F22)*VLOOKUP(C22,Settings!$A$2:$F$5,3,FALSE)/100+(E22*D22+F22)*VLOOKUP(C22,Settings!$A$2:$F$5,4,FALSE)/100+VLOOKUP(C22,Settings!$A$2:$F$5,5,FALSE)+VLOOKUP(C22,Settings!$A$2:$F$5,6,FALSE),0))</f>
        <v/>
      </c>
      <c r="J22" s="3">
        <f>IF(B22="","",IF(ISNA(MATCH(B22,Inventory!$A$2:$A$201,0)),"Check product",E22*D22+F22-I22-G22-H22))</f>
        <v/>
      </c>
      <c r="K22" s="4">
        <f>IF(OR(B22="",NOT(ISNUMBER(J22)),E22*D22+F22=0),"",J22/(E22*D22+F22))</f>
        <v/>
      </c>
    </row>
    <row r="23">
      <c r="A23" s="8" t="n"/>
      <c r="B23" s="6" t="n"/>
      <c r="C23" s="6" t="n"/>
      <c r="D23" s="6" t="n"/>
      <c r="E23" s="7" t="n"/>
      <c r="F23" s="7" t="n"/>
      <c r="G23" s="7" t="n"/>
      <c r="H23" s="3">
        <f>IFERROR(VLOOKUP(B23,Inventory!$A:$B,2,FALSE)*D23,0)</f>
        <v/>
      </c>
      <c r="I23" s="3">
        <f>IF(C23="",0,IFERROR(VLOOKUP(C23,Settings!$A$2:$F$5,2,FALSE)+(E23*D23+F23)*VLOOKUP(C23,Settings!$A$2:$F$5,3,FALSE)/100+(E23*D23+F23)*VLOOKUP(C23,Settings!$A$2:$F$5,4,FALSE)/100+VLOOKUP(C23,Settings!$A$2:$F$5,5,FALSE)+VLOOKUP(C23,Settings!$A$2:$F$5,6,FALSE),0))</f>
        <v/>
      </c>
      <c r="J23" s="3">
        <f>IF(B23="","",IF(ISNA(MATCH(B23,Inventory!$A$2:$A$201,0)),"Check product",E23*D23+F23-I23-G23-H23))</f>
        <v/>
      </c>
      <c r="K23" s="4">
        <f>IF(OR(B23="",NOT(ISNUMBER(J23)),E23*D23+F23=0),"",J23/(E23*D23+F23))</f>
        <v/>
      </c>
    </row>
    <row r="24">
      <c r="A24" s="8" t="n"/>
      <c r="B24" s="6" t="n"/>
      <c r="C24" s="6" t="n"/>
      <c r="D24" s="6" t="n"/>
      <c r="E24" s="7" t="n"/>
      <c r="F24" s="7" t="n"/>
      <c r="G24" s="7" t="n"/>
      <c r="H24" s="3">
        <f>IFERROR(VLOOKUP(B24,Inventory!$A:$B,2,FALSE)*D24,0)</f>
        <v/>
      </c>
      <c r="I24" s="3">
        <f>IF(C24="",0,IFERROR(VLOOKUP(C24,Settings!$A$2:$F$5,2,FALSE)+(E24*D24+F24)*VLOOKUP(C24,Settings!$A$2:$F$5,3,FALSE)/100+(E24*D24+F24)*VLOOKUP(C24,Settings!$A$2:$F$5,4,FALSE)/100+VLOOKUP(C24,Settings!$A$2:$F$5,5,FALSE)+VLOOKUP(C24,Settings!$A$2:$F$5,6,FALSE),0))</f>
        <v/>
      </c>
      <c r="J24" s="3">
        <f>IF(B24="","",IF(ISNA(MATCH(B24,Inventory!$A$2:$A$201,0)),"Check product",E24*D24+F24-I24-G24-H24))</f>
        <v/>
      </c>
      <c r="K24" s="4">
        <f>IF(OR(B24="",NOT(ISNUMBER(J24)),E24*D24+F24=0),"",J24/(E24*D24+F24))</f>
        <v/>
      </c>
    </row>
    <row r="25">
      <c r="A25" s="8" t="n"/>
      <c r="B25" s="6" t="n"/>
      <c r="C25" s="6" t="n"/>
      <c r="D25" s="6" t="n"/>
      <c r="E25" s="7" t="n"/>
      <c r="F25" s="7" t="n"/>
      <c r="G25" s="7" t="n"/>
      <c r="H25" s="3">
        <f>IFERROR(VLOOKUP(B25,Inventory!$A:$B,2,FALSE)*D25,0)</f>
        <v/>
      </c>
      <c r="I25" s="3">
        <f>IF(C25="",0,IFERROR(VLOOKUP(C25,Settings!$A$2:$F$5,2,FALSE)+(E25*D25+F25)*VLOOKUP(C25,Settings!$A$2:$F$5,3,FALSE)/100+(E25*D25+F25)*VLOOKUP(C25,Settings!$A$2:$F$5,4,FALSE)/100+VLOOKUP(C25,Settings!$A$2:$F$5,5,FALSE)+VLOOKUP(C25,Settings!$A$2:$F$5,6,FALSE),0))</f>
        <v/>
      </c>
      <c r="J25" s="3">
        <f>IF(B25="","",IF(ISNA(MATCH(B25,Inventory!$A$2:$A$201,0)),"Check product",E25*D25+F25-I25-G25-H25))</f>
        <v/>
      </c>
      <c r="K25" s="4">
        <f>IF(OR(B25="",NOT(ISNUMBER(J25)),E25*D25+F25=0),"",J25/(E25*D25+F25))</f>
        <v/>
      </c>
    </row>
    <row r="26">
      <c r="A26" s="8" t="n"/>
      <c r="B26" s="6" t="n"/>
      <c r="C26" s="6" t="n"/>
      <c r="D26" s="6" t="n"/>
      <c r="E26" s="7" t="n"/>
      <c r="F26" s="7" t="n"/>
      <c r="G26" s="7" t="n"/>
      <c r="H26" s="3">
        <f>IFERROR(VLOOKUP(B26,Inventory!$A:$B,2,FALSE)*D26,0)</f>
        <v/>
      </c>
      <c r="I26" s="3">
        <f>IF(C26="",0,IFERROR(VLOOKUP(C26,Settings!$A$2:$F$5,2,FALSE)+(E26*D26+F26)*VLOOKUP(C26,Settings!$A$2:$F$5,3,FALSE)/100+(E26*D26+F26)*VLOOKUP(C26,Settings!$A$2:$F$5,4,FALSE)/100+VLOOKUP(C26,Settings!$A$2:$F$5,5,FALSE)+VLOOKUP(C26,Settings!$A$2:$F$5,6,FALSE),0))</f>
        <v/>
      </c>
      <c r="J26" s="3">
        <f>IF(B26="","",IF(ISNA(MATCH(B26,Inventory!$A$2:$A$201,0)),"Check product",E26*D26+F26-I26-G26-H26))</f>
        <v/>
      </c>
      <c r="K26" s="4">
        <f>IF(OR(B26="",NOT(ISNUMBER(J26)),E26*D26+F26=0),"",J26/(E26*D26+F26))</f>
        <v/>
      </c>
    </row>
    <row r="27">
      <c r="A27" s="8" t="n"/>
      <c r="B27" s="6" t="n"/>
      <c r="C27" s="6" t="n"/>
      <c r="D27" s="6" t="n"/>
      <c r="E27" s="7" t="n"/>
      <c r="F27" s="7" t="n"/>
      <c r="G27" s="7" t="n"/>
      <c r="H27" s="3">
        <f>IFERROR(VLOOKUP(B27,Inventory!$A:$B,2,FALSE)*D27,0)</f>
        <v/>
      </c>
      <c r="I27" s="3">
        <f>IF(C27="",0,IFERROR(VLOOKUP(C27,Settings!$A$2:$F$5,2,FALSE)+(E27*D27+F27)*VLOOKUP(C27,Settings!$A$2:$F$5,3,FALSE)/100+(E27*D27+F27)*VLOOKUP(C27,Settings!$A$2:$F$5,4,FALSE)/100+VLOOKUP(C27,Settings!$A$2:$F$5,5,FALSE)+VLOOKUP(C27,Settings!$A$2:$F$5,6,FALSE),0))</f>
        <v/>
      </c>
      <c r="J27" s="3">
        <f>IF(B27="","",IF(ISNA(MATCH(B27,Inventory!$A$2:$A$201,0)),"Check product",E27*D27+F27-I27-G27-H27))</f>
        <v/>
      </c>
      <c r="K27" s="4">
        <f>IF(OR(B27="",NOT(ISNUMBER(J27)),E27*D27+F27=0),"",J27/(E27*D27+F27))</f>
        <v/>
      </c>
    </row>
    <row r="28">
      <c r="A28" s="8" t="n"/>
      <c r="B28" s="6" t="n"/>
      <c r="C28" s="6" t="n"/>
      <c r="D28" s="6" t="n"/>
      <c r="E28" s="7" t="n"/>
      <c r="F28" s="7" t="n"/>
      <c r="G28" s="7" t="n"/>
      <c r="H28" s="3">
        <f>IFERROR(VLOOKUP(B28,Inventory!$A:$B,2,FALSE)*D28,0)</f>
        <v/>
      </c>
      <c r="I28" s="3">
        <f>IF(C28="",0,IFERROR(VLOOKUP(C28,Settings!$A$2:$F$5,2,FALSE)+(E28*D28+F28)*VLOOKUP(C28,Settings!$A$2:$F$5,3,FALSE)/100+(E28*D28+F28)*VLOOKUP(C28,Settings!$A$2:$F$5,4,FALSE)/100+VLOOKUP(C28,Settings!$A$2:$F$5,5,FALSE)+VLOOKUP(C28,Settings!$A$2:$F$5,6,FALSE),0))</f>
        <v/>
      </c>
      <c r="J28" s="3">
        <f>IF(B28="","",IF(ISNA(MATCH(B28,Inventory!$A$2:$A$201,0)),"Check product",E28*D28+F28-I28-G28-H28))</f>
        <v/>
      </c>
      <c r="K28" s="4">
        <f>IF(OR(B28="",NOT(ISNUMBER(J28)),E28*D28+F28=0),"",J28/(E28*D28+F28))</f>
        <v/>
      </c>
    </row>
    <row r="29">
      <c r="A29" s="8" t="n"/>
      <c r="B29" s="6" t="n"/>
      <c r="C29" s="6" t="n"/>
      <c r="D29" s="6" t="n"/>
      <c r="E29" s="7" t="n"/>
      <c r="F29" s="7" t="n"/>
      <c r="G29" s="7" t="n"/>
      <c r="H29" s="3">
        <f>IFERROR(VLOOKUP(B29,Inventory!$A:$B,2,FALSE)*D29,0)</f>
        <v/>
      </c>
      <c r="I29" s="3">
        <f>IF(C29="",0,IFERROR(VLOOKUP(C29,Settings!$A$2:$F$5,2,FALSE)+(E29*D29+F29)*VLOOKUP(C29,Settings!$A$2:$F$5,3,FALSE)/100+(E29*D29+F29)*VLOOKUP(C29,Settings!$A$2:$F$5,4,FALSE)/100+VLOOKUP(C29,Settings!$A$2:$F$5,5,FALSE)+VLOOKUP(C29,Settings!$A$2:$F$5,6,FALSE),0))</f>
        <v/>
      </c>
      <c r="J29" s="3">
        <f>IF(B29="","",IF(ISNA(MATCH(B29,Inventory!$A$2:$A$201,0)),"Check product",E29*D29+F29-I29-G29-H29))</f>
        <v/>
      </c>
      <c r="K29" s="4">
        <f>IF(OR(B29="",NOT(ISNUMBER(J29)),E29*D29+F29=0),"",J29/(E29*D29+F29))</f>
        <v/>
      </c>
    </row>
    <row r="30">
      <c r="A30" s="8" t="n"/>
      <c r="B30" s="6" t="n"/>
      <c r="C30" s="6" t="n"/>
      <c r="D30" s="6" t="n"/>
      <c r="E30" s="7" t="n"/>
      <c r="F30" s="7" t="n"/>
      <c r="G30" s="7" t="n"/>
      <c r="H30" s="3">
        <f>IFERROR(VLOOKUP(B30,Inventory!$A:$B,2,FALSE)*D30,0)</f>
        <v/>
      </c>
      <c r="I30" s="3">
        <f>IF(C30="",0,IFERROR(VLOOKUP(C30,Settings!$A$2:$F$5,2,FALSE)+(E30*D30+F30)*VLOOKUP(C30,Settings!$A$2:$F$5,3,FALSE)/100+(E30*D30+F30)*VLOOKUP(C30,Settings!$A$2:$F$5,4,FALSE)/100+VLOOKUP(C30,Settings!$A$2:$F$5,5,FALSE)+VLOOKUP(C30,Settings!$A$2:$F$5,6,FALSE),0))</f>
        <v/>
      </c>
      <c r="J30" s="3">
        <f>IF(B30="","",IF(ISNA(MATCH(B30,Inventory!$A$2:$A$201,0)),"Check product",E30*D30+F30-I30-G30-H30))</f>
        <v/>
      </c>
      <c r="K30" s="4">
        <f>IF(OR(B30="",NOT(ISNUMBER(J30)),E30*D30+F30=0),"",J30/(E30*D30+F30))</f>
        <v/>
      </c>
    </row>
    <row r="31">
      <c r="A31" s="8" t="n"/>
      <c r="B31" s="6" t="n"/>
      <c r="C31" s="6" t="n"/>
      <c r="D31" s="6" t="n"/>
      <c r="E31" s="7" t="n"/>
      <c r="F31" s="7" t="n"/>
      <c r="G31" s="7" t="n"/>
      <c r="H31" s="3">
        <f>IFERROR(VLOOKUP(B31,Inventory!$A:$B,2,FALSE)*D31,0)</f>
        <v/>
      </c>
      <c r="I31" s="3">
        <f>IF(C31="",0,IFERROR(VLOOKUP(C31,Settings!$A$2:$F$5,2,FALSE)+(E31*D31+F31)*VLOOKUP(C31,Settings!$A$2:$F$5,3,FALSE)/100+(E31*D31+F31)*VLOOKUP(C31,Settings!$A$2:$F$5,4,FALSE)/100+VLOOKUP(C31,Settings!$A$2:$F$5,5,FALSE)+VLOOKUP(C31,Settings!$A$2:$F$5,6,FALSE),0))</f>
        <v/>
      </c>
      <c r="J31" s="3">
        <f>IF(B31="","",IF(ISNA(MATCH(B31,Inventory!$A$2:$A$201,0)),"Check product",E31*D31+F31-I31-G31-H31))</f>
        <v/>
      </c>
      <c r="K31" s="4">
        <f>IF(OR(B31="",NOT(ISNUMBER(J31)),E31*D31+F31=0),"",J31/(E31*D31+F31))</f>
        <v/>
      </c>
    </row>
    <row r="32">
      <c r="A32" s="8" t="n"/>
      <c r="B32" s="6" t="n"/>
      <c r="C32" s="6" t="n"/>
      <c r="D32" s="6" t="n"/>
      <c r="E32" s="7" t="n"/>
      <c r="F32" s="7" t="n"/>
      <c r="G32" s="7" t="n"/>
      <c r="H32" s="3">
        <f>IFERROR(VLOOKUP(B32,Inventory!$A:$B,2,FALSE)*D32,0)</f>
        <v/>
      </c>
      <c r="I32" s="3">
        <f>IF(C32="",0,IFERROR(VLOOKUP(C32,Settings!$A$2:$F$5,2,FALSE)+(E32*D32+F32)*VLOOKUP(C32,Settings!$A$2:$F$5,3,FALSE)/100+(E32*D32+F32)*VLOOKUP(C32,Settings!$A$2:$F$5,4,FALSE)/100+VLOOKUP(C32,Settings!$A$2:$F$5,5,FALSE)+VLOOKUP(C32,Settings!$A$2:$F$5,6,FALSE),0))</f>
        <v/>
      </c>
      <c r="J32" s="3">
        <f>IF(B32="","",IF(ISNA(MATCH(B32,Inventory!$A$2:$A$201,0)),"Check product",E32*D32+F32-I32-G32-H32))</f>
        <v/>
      </c>
      <c r="K32" s="4">
        <f>IF(OR(B32="",NOT(ISNUMBER(J32)),E32*D32+F32=0),"",J32/(E32*D32+F32))</f>
        <v/>
      </c>
    </row>
    <row r="33">
      <c r="A33" s="8" t="n"/>
      <c r="B33" s="6" t="n"/>
      <c r="C33" s="6" t="n"/>
      <c r="D33" s="6" t="n"/>
      <c r="E33" s="7" t="n"/>
      <c r="F33" s="7" t="n"/>
      <c r="G33" s="7" t="n"/>
      <c r="H33" s="3">
        <f>IFERROR(VLOOKUP(B33,Inventory!$A:$B,2,FALSE)*D33,0)</f>
        <v/>
      </c>
      <c r="I33" s="3">
        <f>IF(C33="",0,IFERROR(VLOOKUP(C33,Settings!$A$2:$F$5,2,FALSE)+(E33*D33+F33)*VLOOKUP(C33,Settings!$A$2:$F$5,3,FALSE)/100+(E33*D33+F33)*VLOOKUP(C33,Settings!$A$2:$F$5,4,FALSE)/100+VLOOKUP(C33,Settings!$A$2:$F$5,5,FALSE)+VLOOKUP(C33,Settings!$A$2:$F$5,6,FALSE),0))</f>
        <v/>
      </c>
      <c r="J33" s="3">
        <f>IF(B33="","",IF(ISNA(MATCH(B33,Inventory!$A$2:$A$201,0)),"Check product",E33*D33+F33-I33-G33-H33))</f>
        <v/>
      </c>
      <c r="K33" s="4">
        <f>IF(OR(B33="",NOT(ISNUMBER(J33)),E33*D33+F33=0),"",J33/(E33*D33+F33))</f>
        <v/>
      </c>
    </row>
    <row r="34">
      <c r="A34" s="8" t="n"/>
      <c r="B34" s="6" t="n"/>
      <c r="C34" s="6" t="n"/>
      <c r="D34" s="6" t="n"/>
      <c r="E34" s="7" t="n"/>
      <c r="F34" s="7" t="n"/>
      <c r="G34" s="7" t="n"/>
      <c r="H34" s="3">
        <f>IFERROR(VLOOKUP(B34,Inventory!$A:$B,2,FALSE)*D34,0)</f>
        <v/>
      </c>
      <c r="I34" s="3">
        <f>IF(C34="",0,IFERROR(VLOOKUP(C34,Settings!$A$2:$F$5,2,FALSE)+(E34*D34+F34)*VLOOKUP(C34,Settings!$A$2:$F$5,3,FALSE)/100+(E34*D34+F34)*VLOOKUP(C34,Settings!$A$2:$F$5,4,FALSE)/100+VLOOKUP(C34,Settings!$A$2:$F$5,5,FALSE)+VLOOKUP(C34,Settings!$A$2:$F$5,6,FALSE),0))</f>
        <v/>
      </c>
      <c r="J34" s="3">
        <f>IF(B34="","",IF(ISNA(MATCH(B34,Inventory!$A$2:$A$201,0)),"Check product",E34*D34+F34-I34-G34-H34))</f>
        <v/>
      </c>
      <c r="K34" s="4">
        <f>IF(OR(B34="",NOT(ISNUMBER(J34)),E34*D34+F34=0),"",J34/(E34*D34+F34))</f>
        <v/>
      </c>
    </row>
    <row r="35">
      <c r="A35" s="8" t="n"/>
      <c r="B35" s="6" t="n"/>
      <c r="C35" s="6" t="n"/>
      <c r="D35" s="6" t="n"/>
      <c r="E35" s="7" t="n"/>
      <c r="F35" s="7" t="n"/>
      <c r="G35" s="7" t="n"/>
      <c r="H35" s="3">
        <f>IFERROR(VLOOKUP(B35,Inventory!$A:$B,2,FALSE)*D35,0)</f>
        <v/>
      </c>
      <c r="I35" s="3">
        <f>IF(C35="",0,IFERROR(VLOOKUP(C35,Settings!$A$2:$F$5,2,FALSE)+(E35*D35+F35)*VLOOKUP(C35,Settings!$A$2:$F$5,3,FALSE)/100+(E35*D35+F35)*VLOOKUP(C35,Settings!$A$2:$F$5,4,FALSE)/100+VLOOKUP(C35,Settings!$A$2:$F$5,5,FALSE)+VLOOKUP(C35,Settings!$A$2:$F$5,6,FALSE),0))</f>
        <v/>
      </c>
      <c r="J35" s="3">
        <f>IF(B35="","",IF(ISNA(MATCH(B35,Inventory!$A$2:$A$201,0)),"Check product",E35*D35+F35-I35-G35-H35))</f>
        <v/>
      </c>
      <c r="K35" s="4">
        <f>IF(OR(B35="",NOT(ISNUMBER(J35)),E35*D35+F35=0),"",J35/(E35*D35+F35))</f>
        <v/>
      </c>
    </row>
    <row r="36">
      <c r="A36" s="8" t="n"/>
      <c r="B36" s="6" t="n"/>
      <c r="C36" s="6" t="n"/>
      <c r="D36" s="6" t="n"/>
      <c r="E36" s="7" t="n"/>
      <c r="F36" s="7" t="n"/>
      <c r="G36" s="7" t="n"/>
      <c r="H36" s="3">
        <f>IFERROR(VLOOKUP(B36,Inventory!$A:$B,2,FALSE)*D36,0)</f>
        <v/>
      </c>
      <c r="I36" s="3">
        <f>IF(C36="",0,IFERROR(VLOOKUP(C36,Settings!$A$2:$F$5,2,FALSE)+(E36*D36+F36)*VLOOKUP(C36,Settings!$A$2:$F$5,3,FALSE)/100+(E36*D36+F36)*VLOOKUP(C36,Settings!$A$2:$F$5,4,FALSE)/100+VLOOKUP(C36,Settings!$A$2:$F$5,5,FALSE)+VLOOKUP(C36,Settings!$A$2:$F$5,6,FALSE),0))</f>
        <v/>
      </c>
      <c r="J36" s="3">
        <f>IF(B36="","",IF(ISNA(MATCH(B36,Inventory!$A$2:$A$201,0)),"Check product",E36*D36+F36-I36-G36-H36))</f>
        <v/>
      </c>
      <c r="K36" s="4">
        <f>IF(OR(B36="",NOT(ISNUMBER(J36)),E36*D36+F36=0),"",J36/(E36*D36+F36))</f>
        <v/>
      </c>
    </row>
    <row r="37">
      <c r="A37" s="8" t="n"/>
      <c r="B37" s="6" t="n"/>
      <c r="C37" s="6" t="n"/>
      <c r="D37" s="6" t="n"/>
      <c r="E37" s="7" t="n"/>
      <c r="F37" s="7" t="n"/>
      <c r="G37" s="7" t="n"/>
      <c r="H37" s="3">
        <f>IFERROR(VLOOKUP(B37,Inventory!$A:$B,2,FALSE)*D37,0)</f>
        <v/>
      </c>
      <c r="I37" s="3">
        <f>IF(C37="",0,IFERROR(VLOOKUP(C37,Settings!$A$2:$F$5,2,FALSE)+(E37*D37+F37)*VLOOKUP(C37,Settings!$A$2:$F$5,3,FALSE)/100+(E37*D37+F37)*VLOOKUP(C37,Settings!$A$2:$F$5,4,FALSE)/100+VLOOKUP(C37,Settings!$A$2:$F$5,5,FALSE)+VLOOKUP(C37,Settings!$A$2:$F$5,6,FALSE),0))</f>
        <v/>
      </c>
      <c r="J37" s="3">
        <f>IF(B37="","",IF(ISNA(MATCH(B37,Inventory!$A$2:$A$201,0)),"Check product",E37*D37+F37-I37-G37-H37))</f>
        <v/>
      </c>
      <c r="K37" s="4">
        <f>IF(OR(B37="",NOT(ISNUMBER(J37)),E37*D37+F37=0),"",J37/(E37*D37+F37))</f>
        <v/>
      </c>
    </row>
    <row r="38">
      <c r="A38" s="8" t="n"/>
      <c r="B38" s="6" t="n"/>
      <c r="C38" s="6" t="n"/>
      <c r="D38" s="6" t="n"/>
      <c r="E38" s="7" t="n"/>
      <c r="F38" s="7" t="n"/>
      <c r="G38" s="7" t="n"/>
      <c r="H38" s="3">
        <f>IFERROR(VLOOKUP(B38,Inventory!$A:$B,2,FALSE)*D38,0)</f>
        <v/>
      </c>
      <c r="I38" s="3">
        <f>IF(C38="",0,IFERROR(VLOOKUP(C38,Settings!$A$2:$F$5,2,FALSE)+(E38*D38+F38)*VLOOKUP(C38,Settings!$A$2:$F$5,3,FALSE)/100+(E38*D38+F38)*VLOOKUP(C38,Settings!$A$2:$F$5,4,FALSE)/100+VLOOKUP(C38,Settings!$A$2:$F$5,5,FALSE)+VLOOKUP(C38,Settings!$A$2:$F$5,6,FALSE),0))</f>
        <v/>
      </c>
      <c r="J38" s="3">
        <f>IF(B38="","",IF(ISNA(MATCH(B38,Inventory!$A$2:$A$201,0)),"Check product",E38*D38+F38-I38-G38-H38))</f>
        <v/>
      </c>
      <c r="K38" s="4">
        <f>IF(OR(B38="",NOT(ISNUMBER(J38)),E38*D38+F38=0),"",J38/(E38*D38+F38))</f>
        <v/>
      </c>
    </row>
    <row r="39">
      <c r="A39" s="8" t="n"/>
      <c r="B39" s="6" t="n"/>
      <c r="C39" s="6" t="n"/>
      <c r="D39" s="6" t="n"/>
      <c r="E39" s="7" t="n"/>
      <c r="F39" s="7" t="n"/>
      <c r="G39" s="7" t="n"/>
      <c r="H39" s="3">
        <f>IFERROR(VLOOKUP(B39,Inventory!$A:$B,2,FALSE)*D39,0)</f>
        <v/>
      </c>
      <c r="I39" s="3">
        <f>IF(C39="",0,IFERROR(VLOOKUP(C39,Settings!$A$2:$F$5,2,FALSE)+(E39*D39+F39)*VLOOKUP(C39,Settings!$A$2:$F$5,3,FALSE)/100+(E39*D39+F39)*VLOOKUP(C39,Settings!$A$2:$F$5,4,FALSE)/100+VLOOKUP(C39,Settings!$A$2:$F$5,5,FALSE)+VLOOKUP(C39,Settings!$A$2:$F$5,6,FALSE),0))</f>
        <v/>
      </c>
      <c r="J39" s="3">
        <f>IF(B39="","",IF(ISNA(MATCH(B39,Inventory!$A$2:$A$201,0)),"Check product",E39*D39+F39-I39-G39-H39))</f>
        <v/>
      </c>
      <c r="K39" s="4">
        <f>IF(OR(B39="",NOT(ISNUMBER(J39)),E39*D39+F39=0),"",J39/(E39*D39+F39))</f>
        <v/>
      </c>
    </row>
    <row r="40">
      <c r="A40" s="8" t="n"/>
      <c r="B40" s="6" t="n"/>
      <c r="C40" s="6" t="n"/>
      <c r="D40" s="6" t="n"/>
      <c r="E40" s="7" t="n"/>
      <c r="F40" s="7" t="n"/>
      <c r="G40" s="7" t="n"/>
      <c r="H40" s="3">
        <f>IFERROR(VLOOKUP(B40,Inventory!$A:$B,2,FALSE)*D40,0)</f>
        <v/>
      </c>
      <c r="I40" s="3">
        <f>IF(C40="",0,IFERROR(VLOOKUP(C40,Settings!$A$2:$F$5,2,FALSE)+(E40*D40+F40)*VLOOKUP(C40,Settings!$A$2:$F$5,3,FALSE)/100+(E40*D40+F40)*VLOOKUP(C40,Settings!$A$2:$F$5,4,FALSE)/100+VLOOKUP(C40,Settings!$A$2:$F$5,5,FALSE)+VLOOKUP(C40,Settings!$A$2:$F$5,6,FALSE),0))</f>
        <v/>
      </c>
      <c r="J40" s="3">
        <f>IF(B40="","",IF(ISNA(MATCH(B40,Inventory!$A$2:$A$201,0)),"Check product",E40*D40+F40-I40-G40-H40))</f>
        <v/>
      </c>
      <c r="K40" s="4">
        <f>IF(OR(B40="",NOT(ISNUMBER(J40)),E40*D40+F40=0),"",J40/(E40*D40+F40))</f>
        <v/>
      </c>
    </row>
    <row r="41">
      <c r="A41" s="8" t="n"/>
      <c r="B41" s="6" t="n"/>
      <c r="C41" s="6" t="n"/>
      <c r="D41" s="6" t="n"/>
      <c r="E41" s="7" t="n"/>
      <c r="F41" s="7" t="n"/>
      <c r="G41" s="7" t="n"/>
      <c r="H41" s="3">
        <f>IFERROR(VLOOKUP(B41,Inventory!$A:$B,2,FALSE)*D41,0)</f>
        <v/>
      </c>
      <c r="I41" s="3">
        <f>IF(C41="",0,IFERROR(VLOOKUP(C41,Settings!$A$2:$F$5,2,FALSE)+(E41*D41+F41)*VLOOKUP(C41,Settings!$A$2:$F$5,3,FALSE)/100+(E41*D41+F41)*VLOOKUP(C41,Settings!$A$2:$F$5,4,FALSE)/100+VLOOKUP(C41,Settings!$A$2:$F$5,5,FALSE)+VLOOKUP(C41,Settings!$A$2:$F$5,6,FALSE),0))</f>
        <v/>
      </c>
      <c r="J41" s="3">
        <f>IF(B41="","",IF(ISNA(MATCH(B41,Inventory!$A$2:$A$201,0)),"Check product",E41*D41+F41-I41-G41-H41))</f>
        <v/>
      </c>
      <c r="K41" s="4">
        <f>IF(OR(B41="",NOT(ISNUMBER(J41)),E41*D41+F41=0),"",J41/(E41*D41+F41))</f>
        <v/>
      </c>
    </row>
    <row r="42">
      <c r="A42" s="8" t="n"/>
      <c r="B42" s="6" t="n"/>
      <c r="C42" s="6" t="n"/>
      <c r="D42" s="6" t="n"/>
      <c r="E42" s="7" t="n"/>
      <c r="F42" s="7" t="n"/>
      <c r="G42" s="7" t="n"/>
      <c r="H42" s="3">
        <f>IFERROR(VLOOKUP(B42,Inventory!$A:$B,2,FALSE)*D42,0)</f>
        <v/>
      </c>
      <c r="I42" s="3">
        <f>IF(C42="",0,IFERROR(VLOOKUP(C42,Settings!$A$2:$F$5,2,FALSE)+(E42*D42+F42)*VLOOKUP(C42,Settings!$A$2:$F$5,3,FALSE)/100+(E42*D42+F42)*VLOOKUP(C42,Settings!$A$2:$F$5,4,FALSE)/100+VLOOKUP(C42,Settings!$A$2:$F$5,5,FALSE)+VLOOKUP(C42,Settings!$A$2:$F$5,6,FALSE),0))</f>
        <v/>
      </c>
      <c r="J42" s="3">
        <f>IF(B42="","",IF(ISNA(MATCH(B42,Inventory!$A$2:$A$201,0)),"Check product",E42*D42+F42-I42-G42-H42))</f>
        <v/>
      </c>
      <c r="K42" s="4">
        <f>IF(OR(B42="",NOT(ISNUMBER(J42)),E42*D42+F42=0),"",J42/(E42*D42+F42))</f>
        <v/>
      </c>
    </row>
    <row r="43">
      <c r="A43" s="8" t="n"/>
      <c r="B43" s="6" t="n"/>
      <c r="C43" s="6" t="n"/>
      <c r="D43" s="6" t="n"/>
      <c r="E43" s="7" t="n"/>
      <c r="F43" s="7" t="n"/>
      <c r="G43" s="7" t="n"/>
      <c r="H43" s="3">
        <f>IFERROR(VLOOKUP(B43,Inventory!$A:$B,2,FALSE)*D43,0)</f>
        <v/>
      </c>
      <c r="I43" s="3">
        <f>IF(C43="",0,IFERROR(VLOOKUP(C43,Settings!$A$2:$F$5,2,FALSE)+(E43*D43+F43)*VLOOKUP(C43,Settings!$A$2:$F$5,3,FALSE)/100+(E43*D43+F43)*VLOOKUP(C43,Settings!$A$2:$F$5,4,FALSE)/100+VLOOKUP(C43,Settings!$A$2:$F$5,5,FALSE)+VLOOKUP(C43,Settings!$A$2:$F$5,6,FALSE),0))</f>
        <v/>
      </c>
      <c r="J43" s="3">
        <f>IF(B43="","",IF(ISNA(MATCH(B43,Inventory!$A$2:$A$201,0)),"Check product",E43*D43+F43-I43-G43-H43))</f>
        <v/>
      </c>
      <c r="K43" s="4">
        <f>IF(OR(B43="",NOT(ISNUMBER(J43)),E43*D43+F43=0),"",J43/(E43*D43+F43))</f>
        <v/>
      </c>
    </row>
    <row r="44">
      <c r="A44" s="8" t="n"/>
      <c r="B44" s="6" t="n"/>
      <c r="C44" s="6" t="n"/>
      <c r="D44" s="6" t="n"/>
      <c r="E44" s="7" t="n"/>
      <c r="F44" s="7" t="n"/>
      <c r="G44" s="7" t="n"/>
      <c r="H44" s="3">
        <f>IFERROR(VLOOKUP(B44,Inventory!$A:$B,2,FALSE)*D44,0)</f>
        <v/>
      </c>
      <c r="I44" s="3">
        <f>IF(C44="",0,IFERROR(VLOOKUP(C44,Settings!$A$2:$F$5,2,FALSE)+(E44*D44+F44)*VLOOKUP(C44,Settings!$A$2:$F$5,3,FALSE)/100+(E44*D44+F44)*VLOOKUP(C44,Settings!$A$2:$F$5,4,FALSE)/100+VLOOKUP(C44,Settings!$A$2:$F$5,5,FALSE)+VLOOKUP(C44,Settings!$A$2:$F$5,6,FALSE),0))</f>
        <v/>
      </c>
      <c r="J44" s="3">
        <f>IF(B44="","",IF(ISNA(MATCH(B44,Inventory!$A$2:$A$201,0)),"Check product",E44*D44+F44-I44-G44-H44))</f>
        <v/>
      </c>
      <c r="K44" s="4">
        <f>IF(OR(B44="",NOT(ISNUMBER(J44)),E44*D44+F44=0),"",J44/(E44*D44+F44))</f>
        <v/>
      </c>
    </row>
    <row r="45">
      <c r="A45" s="8" t="n"/>
      <c r="B45" s="6" t="n"/>
      <c r="C45" s="6" t="n"/>
      <c r="D45" s="6" t="n"/>
      <c r="E45" s="7" t="n"/>
      <c r="F45" s="7" t="n"/>
      <c r="G45" s="7" t="n"/>
      <c r="H45" s="3">
        <f>IFERROR(VLOOKUP(B45,Inventory!$A:$B,2,FALSE)*D45,0)</f>
        <v/>
      </c>
      <c r="I45" s="3">
        <f>IF(C45="",0,IFERROR(VLOOKUP(C45,Settings!$A$2:$F$5,2,FALSE)+(E45*D45+F45)*VLOOKUP(C45,Settings!$A$2:$F$5,3,FALSE)/100+(E45*D45+F45)*VLOOKUP(C45,Settings!$A$2:$F$5,4,FALSE)/100+VLOOKUP(C45,Settings!$A$2:$F$5,5,FALSE)+VLOOKUP(C45,Settings!$A$2:$F$5,6,FALSE),0))</f>
        <v/>
      </c>
      <c r="J45" s="3">
        <f>IF(B45="","",IF(ISNA(MATCH(B45,Inventory!$A$2:$A$201,0)),"Check product",E45*D45+F45-I45-G45-H45))</f>
        <v/>
      </c>
      <c r="K45" s="4">
        <f>IF(OR(B45="",NOT(ISNUMBER(J45)),E45*D45+F45=0),"",J45/(E45*D45+F45))</f>
        <v/>
      </c>
    </row>
    <row r="46">
      <c r="A46" s="8" t="n"/>
      <c r="B46" s="6" t="n"/>
      <c r="C46" s="6" t="n"/>
      <c r="D46" s="6" t="n"/>
      <c r="E46" s="7" t="n"/>
      <c r="F46" s="7" t="n"/>
      <c r="G46" s="7" t="n"/>
      <c r="H46" s="3">
        <f>IFERROR(VLOOKUP(B46,Inventory!$A:$B,2,FALSE)*D46,0)</f>
        <v/>
      </c>
      <c r="I46" s="3">
        <f>IF(C46="",0,IFERROR(VLOOKUP(C46,Settings!$A$2:$F$5,2,FALSE)+(E46*D46+F46)*VLOOKUP(C46,Settings!$A$2:$F$5,3,FALSE)/100+(E46*D46+F46)*VLOOKUP(C46,Settings!$A$2:$F$5,4,FALSE)/100+VLOOKUP(C46,Settings!$A$2:$F$5,5,FALSE)+VLOOKUP(C46,Settings!$A$2:$F$5,6,FALSE),0))</f>
        <v/>
      </c>
      <c r="J46" s="3">
        <f>IF(B46="","",IF(ISNA(MATCH(B46,Inventory!$A$2:$A$201,0)),"Check product",E46*D46+F46-I46-G46-H46))</f>
        <v/>
      </c>
      <c r="K46" s="4">
        <f>IF(OR(B46="",NOT(ISNUMBER(J46)),E46*D46+F46=0),"",J46/(E46*D46+F46))</f>
        <v/>
      </c>
    </row>
    <row r="47">
      <c r="A47" s="8" t="n"/>
      <c r="B47" s="6" t="n"/>
      <c r="C47" s="6" t="n"/>
      <c r="D47" s="6" t="n"/>
      <c r="E47" s="7" t="n"/>
      <c r="F47" s="7" t="n"/>
      <c r="G47" s="7" t="n"/>
      <c r="H47" s="3">
        <f>IFERROR(VLOOKUP(B47,Inventory!$A:$B,2,FALSE)*D47,0)</f>
        <v/>
      </c>
      <c r="I47" s="3">
        <f>IF(C47="",0,IFERROR(VLOOKUP(C47,Settings!$A$2:$F$5,2,FALSE)+(E47*D47+F47)*VLOOKUP(C47,Settings!$A$2:$F$5,3,FALSE)/100+(E47*D47+F47)*VLOOKUP(C47,Settings!$A$2:$F$5,4,FALSE)/100+VLOOKUP(C47,Settings!$A$2:$F$5,5,FALSE)+VLOOKUP(C47,Settings!$A$2:$F$5,6,FALSE),0))</f>
        <v/>
      </c>
      <c r="J47" s="3">
        <f>IF(B47="","",IF(ISNA(MATCH(B47,Inventory!$A$2:$A$201,0)),"Check product",E47*D47+F47-I47-G47-H47))</f>
        <v/>
      </c>
      <c r="K47" s="4">
        <f>IF(OR(B47="",NOT(ISNUMBER(J47)),E47*D47+F47=0),"",J47/(E47*D47+F47))</f>
        <v/>
      </c>
    </row>
    <row r="48">
      <c r="A48" s="8" t="n"/>
      <c r="B48" s="6" t="n"/>
      <c r="C48" s="6" t="n"/>
      <c r="D48" s="6" t="n"/>
      <c r="E48" s="7" t="n"/>
      <c r="F48" s="7" t="n"/>
      <c r="G48" s="7" t="n"/>
      <c r="H48" s="3">
        <f>IFERROR(VLOOKUP(B48,Inventory!$A:$B,2,FALSE)*D48,0)</f>
        <v/>
      </c>
      <c r="I48" s="3">
        <f>IF(C48="",0,IFERROR(VLOOKUP(C48,Settings!$A$2:$F$5,2,FALSE)+(E48*D48+F48)*VLOOKUP(C48,Settings!$A$2:$F$5,3,FALSE)/100+(E48*D48+F48)*VLOOKUP(C48,Settings!$A$2:$F$5,4,FALSE)/100+VLOOKUP(C48,Settings!$A$2:$F$5,5,FALSE)+VLOOKUP(C48,Settings!$A$2:$F$5,6,FALSE),0))</f>
        <v/>
      </c>
      <c r="J48" s="3">
        <f>IF(B48="","",IF(ISNA(MATCH(B48,Inventory!$A$2:$A$201,0)),"Check product",E48*D48+F48-I48-G48-H48))</f>
        <v/>
      </c>
      <c r="K48" s="4">
        <f>IF(OR(B48="",NOT(ISNUMBER(J48)),E48*D48+F48=0),"",J48/(E48*D48+F48))</f>
        <v/>
      </c>
    </row>
    <row r="49">
      <c r="A49" s="8" t="n"/>
      <c r="B49" s="6" t="n"/>
      <c r="C49" s="6" t="n"/>
      <c r="D49" s="6" t="n"/>
      <c r="E49" s="7" t="n"/>
      <c r="F49" s="7" t="n"/>
      <c r="G49" s="7" t="n"/>
      <c r="H49" s="3">
        <f>IFERROR(VLOOKUP(B49,Inventory!$A:$B,2,FALSE)*D49,0)</f>
        <v/>
      </c>
      <c r="I49" s="3">
        <f>IF(C49="",0,IFERROR(VLOOKUP(C49,Settings!$A$2:$F$5,2,FALSE)+(E49*D49+F49)*VLOOKUP(C49,Settings!$A$2:$F$5,3,FALSE)/100+(E49*D49+F49)*VLOOKUP(C49,Settings!$A$2:$F$5,4,FALSE)/100+VLOOKUP(C49,Settings!$A$2:$F$5,5,FALSE)+VLOOKUP(C49,Settings!$A$2:$F$5,6,FALSE),0))</f>
        <v/>
      </c>
      <c r="J49" s="3">
        <f>IF(B49="","",IF(ISNA(MATCH(B49,Inventory!$A$2:$A$201,0)),"Check product",E49*D49+F49-I49-G49-H49))</f>
        <v/>
      </c>
      <c r="K49" s="4">
        <f>IF(OR(B49="",NOT(ISNUMBER(J49)),E49*D49+F49=0),"",J49/(E49*D49+F49))</f>
        <v/>
      </c>
    </row>
    <row r="50">
      <c r="A50" s="8" t="n"/>
      <c r="B50" s="6" t="n"/>
      <c r="C50" s="6" t="n"/>
      <c r="D50" s="6" t="n"/>
      <c r="E50" s="7" t="n"/>
      <c r="F50" s="7" t="n"/>
      <c r="G50" s="7" t="n"/>
      <c r="H50" s="3">
        <f>IFERROR(VLOOKUP(B50,Inventory!$A:$B,2,FALSE)*D50,0)</f>
        <v/>
      </c>
      <c r="I50" s="3">
        <f>IF(C50="",0,IFERROR(VLOOKUP(C50,Settings!$A$2:$F$5,2,FALSE)+(E50*D50+F50)*VLOOKUP(C50,Settings!$A$2:$F$5,3,FALSE)/100+(E50*D50+F50)*VLOOKUP(C50,Settings!$A$2:$F$5,4,FALSE)/100+VLOOKUP(C50,Settings!$A$2:$F$5,5,FALSE)+VLOOKUP(C50,Settings!$A$2:$F$5,6,FALSE),0))</f>
        <v/>
      </c>
      <c r="J50" s="3">
        <f>IF(B50="","",IF(ISNA(MATCH(B50,Inventory!$A$2:$A$201,0)),"Check product",E50*D50+F50-I50-G50-H50))</f>
        <v/>
      </c>
      <c r="K50" s="4">
        <f>IF(OR(B50="",NOT(ISNUMBER(J50)),E50*D50+F50=0),"",J50/(E50*D50+F50))</f>
        <v/>
      </c>
    </row>
    <row r="51">
      <c r="A51" s="8" t="n"/>
      <c r="B51" s="6" t="n"/>
      <c r="C51" s="6" t="n"/>
      <c r="D51" s="6" t="n"/>
      <c r="E51" s="7" t="n"/>
      <c r="F51" s="7" t="n"/>
      <c r="G51" s="7" t="n"/>
      <c r="H51" s="3">
        <f>IFERROR(VLOOKUP(B51,Inventory!$A:$B,2,FALSE)*D51,0)</f>
        <v/>
      </c>
      <c r="I51" s="3">
        <f>IF(C51="",0,IFERROR(VLOOKUP(C51,Settings!$A$2:$F$5,2,FALSE)+(E51*D51+F51)*VLOOKUP(C51,Settings!$A$2:$F$5,3,FALSE)/100+(E51*D51+F51)*VLOOKUP(C51,Settings!$A$2:$F$5,4,FALSE)/100+VLOOKUP(C51,Settings!$A$2:$F$5,5,FALSE)+VLOOKUP(C51,Settings!$A$2:$F$5,6,FALSE),0))</f>
        <v/>
      </c>
      <c r="J51" s="3">
        <f>IF(B51="","",IF(ISNA(MATCH(B51,Inventory!$A$2:$A$201,0)),"Check product",E51*D51+F51-I51-G51-H51))</f>
        <v/>
      </c>
      <c r="K51" s="4">
        <f>IF(OR(B51="",NOT(ISNUMBER(J51)),E51*D51+F51=0),"",J51/(E51*D51+F51))</f>
        <v/>
      </c>
    </row>
    <row r="52">
      <c r="A52" s="8" t="n"/>
      <c r="B52" s="6" t="n"/>
      <c r="C52" s="6" t="n"/>
      <c r="D52" s="6" t="n"/>
      <c r="E52" s="7" t="n"/>
      <c r="F52" s="7" t="n"/>
      <c r="G52" s="7" t="n"/>
      <c r="H52" s="3">
        <f>IFERROR(VLOOKUP(B52,Inventory!$A:$B,2,FALSE)*D52,0)</f>
        <v/>
      </c>
      <c r="I52" s="3">
        <f>IF(C52="",0,IFERROR(VLOOKUP(C52,Settings!$A$2:$F$5,2,FALSE)+(E52*D52+F52)*VLOOKUP(C52,Settings!$A$2:$F$5,3,FALSE)/100+(E52*D52+F52)*VLOOKUP(C52,Settings!$A$2:$F$5,4,FALSE)/100+VLOOKUP(C52,Settings!$A$2:$F$5,5,FALSE)+VLOOKUP(C52,Settings!$A$2:$F$5,6,FALSE),0))</f>
        <v/>
      </c>
      <c r="J52" s="3">
        <f>IF(B52="","",IF(ISNA(MATCH(B52,Inventory!$A$2:$A$201,0)),"Check product",E52*D52+F52-I52-G52-H52))</f>
        <v/>
      </c>
      <c r="K52" s="4">
        <f>IF(OR(B52="",NOT(ISNUMBER(J52)),E52*D52+F52=0),"",J52/(E52*D52+F52))</f>
        <v/>
      </c>
    </row>
    <row r="53">
      <c r="A53" s="8" t="n"/>
      <c r="B53" s="6" t="n"/>
      <c r="C53" s="6" t="n"/>
      <c r="D53" s="6" t="n"/>
      <c r="E53" s="7" t="n"/>
      <c r="F53" s="7" t="n"/>
      <c r="G53" s="7" t="n"/>
      <c r="H53" s="3">
        <f>IFERROR(VLOOKUP(B53,Inventory!$A:$B,2,FALSE)*D53,0)</f>
        <v/>
      </c>
      <c r="I53" s="3">
        <f>IF(C53="",0,IFERROR(VLOOKUP(C53,Settings!$A$2:$F$5,2,FALSE)+(E53*D53+F53)*VLOOKUP(C53,Settings!$A$2:$F$5,3,FALSE)/100+(E53*D53+F53)*VLOOKUP(C53,Settings!$A$2:$F$5,4,FALSE)/100+VLOOKUP(C53,Settings!$A$2:$F$5,5,FALSE)+VLOOKUP(C53,Settings!$A$2:$F$5,6,FALSE),0))</f>
        <v/>
      </c>
      <c r="J53" s="3">
        <f>IF(B53="","",IF(ISNA(MATCH(B53,Inventory!$A$2:$A$201,0)),"Check product",E53*D53+F53-I53-G53-H53))</f>
        <v/>
      </c>
      <c r="K53" s="4">
        <f>IF(OR(B53="",NOT(ISNUMBER(J53)),E53*D53+F53=0),"",J53/(E53*D53+F53))</f>
        <v/>
      </c>
    </row>
    <row r="54">
      <c r="A54" s="8" t="n"/>
      <c r="B54" s="6" t="n"/>
      <c r="C54" s="6" t="n"/>
      <c r="D54" s="6" t="n"/>
      <c r="E54" s="7" t="n"/>
      <c r="F54" s="7" t="n"/>
      <c r="G54" s="7" t="n"/>
      <c r="H54" s="3">
        <f>IFERROR(VLOOKUP(B54,Inventory!$A:$B,2,FALSE)*D54,0)</f>
        <v/>
      </c>
      <c r="I54" s="3">
        <f>IF(C54="",0,IFERROR(VLOOKUP(C54,Settings!$A$2:$F$5,2,FALSE)+(E54*D54+F54)*VLOOKUP(C54,Settings!$A$2:$F$5,3,FALSE)/100+(E54*D54+F54)*VLOOKUP(C54,Settings!$A$2:$F$5,4,FALSE)/100+VLOOKUP(C54,Settings!$A$2:$F$5,5,FALSE)+VLOOKUP(C54,Settings!$A$2:$F$5,6,FALSE),0))</f>
        <v/>
      </c>
      <c r="J54" s="3">
        <f>IF(B54="","",IF(ISNA(MATCH(B54,Inventory!$A$2:$A$201,0)),"Check product",E54*D54+F54-I54-G54-H54))</f>
        <v/>
      </c>
      <c r="K54" s="4">
        <f>IF(OR(B54="",NOT(ISNUMBER(J54)),E54*D54+F54=0),"",J54/(E54*D54+F54))</f>
        <v/>
      </c>
    </row>
    <row r="55">
      <c r="A55" s="8" t="n"/>
      <c r="B55" s="6" t="n"/>
      <c r="C55" s="6" t="n"/>
      <c r="D55" s="6" t="n"/>
      <c r="E55" s="7" t="n"/>
      <c r="F55" s="7" t="n"/>
      <c r="G55" s="7" t="n"/>
      <c r="H55" s="3">
        <f>IFERROR(VLOOKUP(B55,Inventory!$A:$B,2,FALSE)*D55,0)</f>
        <v/>
      </c>
      <c r="I55" s="3">
        <f>IF(C55="",0,IFERROR(VLOOKUP(C55,Settings!$A$2:$F$5,2,FALSE)+(E55*D55+F55)*VLOOKUP(C55,Settings!$A$2:$F$5,3,FALSE)/100+(E55*D55+F55)*VLOOKUP(C55,Settings!$A$2:$F$5,4,FALSE)/100+VLOOKUP(C55,Settings!$A$2:$F$5,5,FALSE)+VLOOKUP(C55,Settings!$A$2:$F$5,6,FALSE),0))</f>
        <v/>
      </c>
      <c r="J55" s="3">
        <f>IF(B55="","",IF(ISNA(MATCH(B55,Inventory!$A$2:$A$201,0)),"Check product",E55*D55+F55-I55-G55-H55))</f>
        <v/>
      </c>
      <c r="K55" s="4">
        <f>IF(OR(B55="",NOT(ISNUMBER(J55)),E55*D55+F55=0),"",J55/(E55*D55+F55))</f>
        <v/>
      </c>
    </row>
    <row r="56">
      <c r="A56" s="8" t="n"/>
      <c r="B56" s="6" t="n"/>
      <c r="C56" s="6" t="n"/>
      <c r="D56" s="6" t="n"/>
      <c r="E56" s="7" t="n"/>
      <c r="F56" s="7" t="n"/>
      <c r="G56" s="7" t="n"/>
      <c r="H56" s="3">
        <f>IFERROR(VLOOKUP(B56,Inventory!$A:$B,2,FALSE)*D56,0)</f>
        <v/>
      </c>
      <c r="I56" s="3">
        <f>IF(C56="",0,IFERROR(VLOOKUP(C56,Settings!$A$2:$F$5,2,FALSE)+(E56*D56+F56)*VLOOKUP(C56,Settings!$A$2:$F$5,3,FALSE)/100+(E56*D56+F56)*VLOOKUP(C56,Settings!$A$2:$F$5,4,FALSE)/100+VLOOKUP(C56,Settings!$A$2:$F$5,5,FALSE)+VLOOKUP(C56,Settings!$A$2:$F$5,6,FALSE),0))</f>
        <v/>
      </c>
      <c r="J56" s="3">
        <f>IF(B56="","",IF(ISNA(MATCH(B56,Inventory!$A$2:$A$201,0)),"Check product",E56*D56+F56-I56-G56-H56))</f>
        <v/>
      </c>
      <c r="K56" s="4">
        <f>IF(OR(B56="",NOT(ISNUMBER(J56)),E56*D56+F56=0),"",J56/(E56*D56+F56))</f>
        <v/>
      </c>
    </row>
    <row r="57">
      <c r="A57" s="8" t="n"/>
      <c r="B57" s="6" t="n"/>
      <c r="C57" s="6" t="n"/>
      <c r="D57" s="6" t="n"/>
      <c r="E57" s="7" t="n"/>
      <c r="F57" s="7" t="n"/>
      <c r="G57" s="7" t="n"/>
      <c r="H57" s="3">
        <f>IFERROR(VLOOKUP(B57,Inventory!$A:$B,2,FALSE)*D57,0)</f>
        <v/>
      </c>
      <c r="I57" s="3">
        <f>IF(C57="",0,IFERROR(VLOOKUP(C57,Settings!$A$2:$F$5,2,FALSE)+(E57*D57+F57)*VLOOKUP(C57,Settings!$A$2:$F$5,3,FALSE)/100+(E57*D57+F57)*VLOOKUP(C57,Settings!$A$2:$F$5,4,FALSE)/100+VLOOKUP(C57,Settings!$A$2:$F$5,5,FALSE)+VLOOKUP(C57,Settings!$A$2:$F$5,6,FALSE),0))</f>
        <v/>
      </c>
      <c r="J57" s="3">
        <f>IF(B57="","",IF(ISNA(MATCH(B57,Inventory!$A$2:$A$201,0)),"Check product",E57*D57+F57-I57-G57-H57))</f>
        <v/>
      </c>
      <c r="K57" s="4">
        <f>IF(OR(B57="",NOT(ISNUMBER(J57)),E57*D57+F57=0),"",J57/(E57*D57+F57))</f>
        <v/>
      </c>
    </row>
    <row r="58">
      <c r="A58" s="8" t="n"/>
      <c r="B58" s="6" t="n"/>
      <c r="C58" s="6" t="n"/>
      <c r="D58" s="6" t="n"/>
      <c r="E58" s="7" t="n"/>
      <c r="F58" s="7" t="n"/>
      <c r="G58" s="7" t="n"/>
      <c r="H58" s="3">
        <f>IFERROR(VLOOKUP(B58,Inventory!$A:$B,2,FALSE)*D58,0)</f>
        <v/>
      </c>
      <c r="I58" s="3">
        <f>IF(C58="",0,IFERROR(VLOOKUP(C58,Settings!$A$2:$F$5,2,FALSE)+(E58*D58+F58)*VLOOKUP(C58,Settings!$A$2:$F$5,3,FALSE)/100+(E58*D58+F58)*VLOOKUP(C58,Settings!$A$2:$F$5,4,FALSE)/100+VLOOKUP(C58,Settings!$A$2:$F$5,5,FALSE)+VLOOKUP(C58,Settings!$A$2:$F$5,6,FALSE),0))</f>
        <v/>
      </c>
      <c r="J58" s="3">
        <f>IF(B58="","",IF(ISNA(MATCH(B58,Inventory!$A$2:$A$201,0)),"Check product",E58*D58+F58-I58-G58-H58))</f>
        <v/>
      </c>
      <c r="K58" s="4">
        <f>IF(OR(B58="",NOT(ISNUMBER(J58)),E58*D58+F58=0),"",J58/(E58*D58+F58))</f>
        <v/>
      </c>
    </row>
    <row r="59">
      <c r="A59" s="8" t="n"/>
      <c r="B59" s="6" t="n"/>
      <c r="C59" s="6" t="n"/>
      <c r="D59" s="6" t="n"/>
      <c r="E59" s="7" t="n"/>
      <c r="F59" s="7" t="n"/>
      <c r="G59" s="7" t="n"/>
      <c r="H59" s="3">
        <f>IFERROR(VLOOKUP(B59,Inventory!$A:$B,2,FALSE)*D59,0)</f>
        <v/>
      </c>
      <c r="I59" s="3">
        <f>IF(C59="",0,IFERROR(VLOOKUP(C59,Settings!$A$2:$F$5,2,FALSE)+(E59*D59+F59)*VLOOKUP(C59,Settings!$A$2:$F$5,3,FALSE)/100+(E59*D59+F59)*VLOOKUP(C59,Settings!$A$2:$F$5,4,FALSE)/100+VLOOKUP(C59,Settings!$A$2:$F$5,5,FALSE)+VLOOKUP(C59,Settings!$A$2:$F$5,6,FALSE),0))</f>
        <v/>
      </c>
      <c r="J59" s="3">
        <f>IF(B59="","",IF(ISNA(MATCH(B59,Inventory!$A$2:$A$201,0)),"Check product",E59*D59+F59-I59-G59-H59))</f>
        <v/>
      </c>
      <c r="K59" s="4">
        <f>IF(OR(B59="",NOT(ISNUMBER(J59)),E59*D59+F59=0),"",J59/(E59*D59+F59))</f>
        <v/>
      </c>
    </row>
    <row r="60">
      <c r="A60" s="8" t="n"/>
      <c r="B60" s="6" t="n"/>
      <c r="C60" s="6" t="n"/>
      <c r="D60" s="6" t="n"/>
      <c r="E60" s="7" t="n"/>
      <c r="F60" s="7" t="n"/>
      <c r="G60" s="7" t="n"/>
      <c r="H60" s="3">
        <f>IFERROR(VLOOKUP(B60,Inventory!$A:$B,2,FALSE)*D60,0)</f>
        <v/>
      </c>
      <c r="I60" s="3">
        <f>IF(C60="",0,IFERROR(VLOOKUP(C60,Settings!$A$2:$F$5,2,FALSE)+(E60*D60+F60)*VLOOKUP(C60,Settings!$A$2:$F$5,3,FALSE)/100+(E60*D60+F60)*VLOOKUP(C60,Settings!$A$2:$F$5,4,FALSE)/100+VLOOKUP(C60,Settings!$A$2:$F$5,5,FALSE)+VLOOKUP(C60,Settings!$A$2:$F$5,6,FALSE),0))</f>
        <v/>
      </c>
      <c r="J60" s="3">
        <f>IF(B60="","",IF(ISNA(MATCH(B60,Inventory!$A$2:$A$201,0)),"Check product",E60*D60+F60-I60-G60-H60))</f>
        <v/>
      </c>
      <c r="K60" s="4">
        <f>IF(OR(B60="",NOT(ISNUMBER(J60)),E60*D60+F60=0),"",J60/(E60*D60+F60))</f>
        <v/>
      </c>
    </row>
    <row r="61">
      <c r="A61" s="8" t="n"/>
      <c r="B61" s="6" t="n"/>
      <c r="C61" s="6" t="n"/>
      <c r="D61" s="6" t="n"/>
      <c r="E61" s="7" t="n"/>
      <c r="F61" s="7" t="n"/>
      <c r="G61" s="7" t="n"/>
      <c r="H61" s="3">
        <f>IFERROR(VLOOKUP(B61,Inventory!$A:$B,2,FALSE)*D61,0)</f>
        <v/>
      </c>
      <c r="I61" s="3">
        <f>IF(C61="",0,IFERROR(VLOOKUP(C61,Settings!$A$2:$F$5,2,FALSE)+(E61*D61+F61)*VLOOKUP(C61,Settings!$A$2:$F$5,3,FALSE)/100+(E61*D61+F61)*VLOOKUP(C61,Settings!$A$2:$F$5,4,FALSE)/100+VLOOKUP(C61,Settings!$A$2:$F$5,5,FALSE)+VLOOKUP(C61,Settings!$A$2:$F$5,6,FALSE),0))</f>
        <v/>
      </c>
      <c r="J61" s="3">
        <f>IF(B61="","",IF(ISNA(MATCH(B61,Inventory!$A$2:$A$201,0)),"Check product",E61*D61+F61-I61-G61-H61))</f>
        <v/>
      </c>
      <c r="K61" s="4">
        <f>IF(OR(B61="",NOT(ISNUMBER(J61)),E61*D61+F61=0),"",J61/(E61*D61+F61))</f>
        <v/>
      </c>
    </row>
    <row r="62">
      <c r="A62" s="8" t="n"/>
      <c r="B62" s="6" t="n"/>
      <c r="C62" s="6" t="n"/>
      <c r="D62" s="6" t="n"/>
      <c r="E62" s="7" t="n"/>
      <c r="F62" s="7" t="n"/>
      <c r="G62" s="7" t="n"/>
      <c r="H62" s="3">
        <f>IFERROR(VLOOKUP(B62,Inventory!$A:$B,2,FALSE)*D62,0)</f>
        <v/>
      </c>
      <c r="I62" s="3">
        <f>IF(C62="",0,IFERROR(VLOOKUP(C62,Settings!$A$2:$F$5,2,FALSE)+(E62*D62+F62)*VLOOKUP(C62,Settings!$A$2:$F$5,3,FALSE)/100+(E62*D62+F62)*VLOOKUP(C62,Settings!$A$2:$F$5,4,FALSE)/100+VLOOKUP(C62,Settings!$A$2:$F$5,5,FALSE)+VLOOKUP(C62,Settings!$A$2:$F$5,6,FALSE),0))</f>
        <v/>
      </c>
      <c r="J62" s="3">
        <f>IF(B62="","",IF(ISNA(MATCH(B62,Inventory!$A$2:$A$201,0)),"Check product",E62*D62+F62-I62-G62-H62))</f>
        <v/>
      </c>
      <c r="K62" s="4">
        <f>IF(OR(B62="",NOT(ISNUMBER(J62)),E62*D62+F62=0),"",J62/(E62*D62+F62))</f>
        <v/>
      </c>
    </row>
    <row r="63">
      <c r="A63" s="8" t="n"/>
      <c r="B63" s="6" t="n"/>
      <c r="C63" s="6" t="n"/>
      <c r="D63" s="6" t="n"/>
      <c r="E63" s="7" t="n"/>
      <c r="F63" s="7" t="n"/>
      <c r="G63" s="7" t="n"/>
      <c r="H63" s="3">
        <f>IFERROR(VLOOKUP(B63,Inventory!$A:$B,2,FALSE)*D63,0)</f>
        <v/>
      </c>
      <c r="I63" s="3">
        <f>IF(C63="",0,IFERROR(VLOOKUP(C63,Settings!$A$2:$F$5,2,FALSE)+(E63*D63+F63)*VLOOKUP(C63,Settings!$A$2:$F$5,3,FALSE)/100+(E63*D63+F63)*VLOOKUP(C63,Settings!$A$2:$F$5,4,FALSE)/100+VLOOKUP(C63,Settings!$A$2:$F$5,5,FALSE)+VLOOKUP(C63,Settings!$A$2:$F$5,6,FALSE),0))</f>
        <v/>
      </c>
      <c r="J63" s="3">
        <f>IF(B63="","",IF(ISNA(MATCH(B63,Inventory!$A$2:$A$201,0)),"Check product",E63*D63+F63-I63-G63-H63))</f>
        <v/>
      </c>
      <c r="K63" s="4">
        <f>IF(OR(B63="",NOT(ISNUMBER(J63)),E63*D63+F63=0),"",J63/(E63*D63+F63))</f>
        <v/>
      </c>
    </row>
    <row r="64">
      <c r="A64" s="8" t="n"/>
      <c r="B64" s="6" t="n"/>
      <c r="C64" s="6" t="n"/>
      <c r="D64" s="6" t="n"/>
      <c r="E64" s="7" t="n"/>
      <c r="F64" s="7" t="n"/>
      <c r="G64" s="7" t="n"/>
      <c r="H64" s="3">
        <f>IFERROR(VLOOKUP(B64,Inventory!$A:$B,2,FALSE)*D64,0)</f>
        <v/>
      </c>
      <c r="I64" s="3">
        <f>IF(C64="",0,IFERROR(VLOOKUP(C64,Settings!$A$2:$F$5,2,FALSE)+(E64*D64+F64)*VLOOKUP(C64,Settings!$A$2:$F$5,3,FALSE)/100+(E64*D64+F64)*VLOOKUP(C64,Settings!$A$2:$F$5,4,FALSE)/100+VLOOKUP(C64,Settings!$A$2:$F$5,5,FALSE)+VLOOKUP(C64,Settings!$A$2:$F$5,6,FALSE),0))</f>
        <v/>
      </c>
      <c r="J64" s="3">
        <f>IF(B64="","",IF(ISNA(MATCH(B64,Inventory!$A$2:$A$201,0)),"Check product",E64*D64+F64-I64-G64-H64))</f>
        <v/>
      </c>
      <c r="K64" s="4">
        <f>IF(OR(B64="",NOT(ISNUMBER(J64)),E64*D64+F64=0),"",J64/(E64*D64+F64))</f>
        <v/>
      </c>
    </row>
    <row r="65">
      <c r="A65" s="8" t="n"/>
      <c r="B65" s="6" t="n"/>
      <c r="C65" s="6" t="n"/>
      <c r="D65" s="6" t="n"/>
      <c r="E65" s="7" t="n"/>
      <c r="F65" s="7" t="n"/>
      <c r="G65" s="7" t="n"/>
      <c r="H65" s="3">
        <f>IFERROR(VLOOKUP(B65,Inventory!$A:$B,2,FALSE)*D65,0)</f>
        <v/>
      </c>
      <c r="I65" s="3">
        <f>IF(C65="",0,IFERROR(VLOOKUP(C65,Settings!$A$2:$F$5,2,FALSE)+(E65*D65+F65)*VLOOKUP(C65,Settings!$A$2:$F$5,3,FALSE)/100+(E65*D65+F65)*VLOOKUP(C65,Settings!$A$2:$F$5,4,FALSE)/100+VLOOKUP(C65,Settings!$A$2:$F$5,5,FALSE)+VLOOKUP(C65,Settings!$A$2:$F$5,6,FALSE),0))</f>
        <v/>
      </c>
      <c r="J65" s="3">
        <f>IF(B65="","",IF(ISNA(MATCH(B65,Inventory!$A$2:$A$201,0)),"Check product",E65*D65+F65-I65-G65-H65))</f>
        <v/>
      </c>
      <c r="K65" s="4">
        <f>IF(OR(B65="",NOT(ISNUMBER(J65)),E65*D65+F65=0),"",J65/(E65*D65+F65))</f>
        <v/>
      </c>
    </row>
    <row r="66">
      <c r="A66" s="8" t="n"/>
      <c r="B66" s="6" t="n"/>
      <c r="C66" s="6" t="n"/>
      <c r="D66" s="6" t="n"/>
      <c r="E66" s="7" t="n"/>
      <c r="F66" s="7" t="n"/>
      <c r="G66" s="7" t="n"/>
      <c r="H66" s="3">
        <f>IFERROR(VLOOKUP(B66,Inventory!$A:$B,2,FALSE)*D66,0)</f>
        <v/>
      </c>
      <c r="I66" s="3">
        <f>IF(C66="",0,IFERROR(VLOOKUP(C66,Settings!$A$2:$F$5,2,FALSE)+(E66*D66+F66)*VLOOKUP(C66,Settings!$A$2:$F$5,3,FALSE)/100+(E66*D66+F66)*VLOOKUP(C66,Settings!$A$2:$F$5,4,FALSE)/100+VLOOKUP(C66,Settings!$A$2:$F$5,5,FALSE)+VLOOKUP(C66,Settings!$A$2:$F$5,6,FALSE),0))</f>
        <v/>
      </c>
      <c r="J66" s="3">
        <f>IF(B66="","",IF(ISNA(MATCH(B66,Inventory!$A$2:$A$201,0)),"Check product",E66*D66+F66-I66-G66-H66))</f>
        <v/>
      </c>
      <c r="K66" s="4">
        <f>IF(OR(B66="",NOT(ISNUMBER(J66)),E66*D66+F66=0),"",J66/(E66*D66+F66))</f>
        <v/>
      </c>
    </row>
    <row r="67">
      <c r="A67" s="8" t="n"/>
      <c r="B67" s="6" t="n"/>
      <c r="C67" s="6" t="n"/>
      <c r="D67" s="6" t="n"/>
      <c r="E67" s="7" t="n"/>
      <c r="F67" s="7" t="n"/>
      <c r="G67" s="7" t="n"/>
      <c r="H67" s="3">
        <f>IFERROR(VLOOKUP(B67,Inventory!$A:$B,2,FALSE)*D67,0)</f>
        <v/>
      </c>
      <c r="I67" s="3">
        <f>IF(C67="",0,IFERROR(VLOOKUP(C67,Settings!$A$2:$F$5,2,FALSE)+(E67*D67+F67)*VLOOKUP(C67,Settings!$A$2:$F$5,3,FALSE)/100+(E67*D67+F67)*VLOOKUP(C67,Settings!$A$2:$F$5,4,FALSE)/100+VLOOKUP(C67,Settings!$A$2:$F$5,5,FALSE)+VLOOKUP(C67,Settings!$A$2:$F$5,6,FALSE),0))</f>
        <v/>
      </c>
      <c r="J67" s="3">
        <f>IF(B67="","",IF(ISNA(MATCH(B67,Inventory!$A$2:$A$201,0)),"Check product",E67*D67+F67-I67-G67-H67))</f>
        <v/>
      </c>
      <c r="K67" s="4">
        <f>IF(OR(B67="",NOT(ISNUMBER(J67)),E67*D67+F67=0),"",J67/(E67*D67+F67))</f>
        <v/>
      </c>
    </row>
    <row r="68">
      <c r="A68" s="8" t="n"/>
      <c r="B68" s="6" t="n"/>
      <c r="C68" s="6" t="n"/>
      <c r="D68" s="6" t="n"/>
      <c r="E68" s="7" t="n"/>
      <c r="F68" s="7" t="n"/>
      <c r="G68" s="7" t="n"/>
      <c r="H68" s="3">
        <f>IFERROR(VLOOKUP(B68,Inventory!$A:$B,2,FALSE)*D68,0)</f>
        <v/>
      </c>
      <c r="I68" s="3">
        <f>IF(C68="",0,IFERROR(VLOOKUP(C68,Settings!$A$2:$F$5,2,FALSE)+(E68*D68+F68)*VLOOKUP(C68,Settings!$A$2:$F$5,3,FALSE)/100+(E68*D68+F68)*VLOOKUP(C68,Settings!$A$2:$F$5,4,FALSE)/100+VLOOKUP(C68,Settings!$A$2:$F$5,5,FALSE)+VLOOKUP(C68,Settings!$A$2:$F$5,6,FALSE),0))</f>
        <v/>
      </c>
      <c r="J68" s="3">
        <f>IF(B68="","",IF(ISNA(MATCH(B68,Inventory!$A$2:$A$201,0)),"Check product",E68*D68+F68-I68-G68-H68))</f>
        <v/>
      </c>
      <c r="K68" s="4">
        <f>IF(OR(B68="",NOT(ISNUMBER(J68)),E68*D68+F68=0),"",J68/(E68*D68+F68))</f>
        <v/>
      </c>
    </row>
    <row r="69">
      <c r="A69" s="8" t="n"/>
      <c r="B69" s="6" t="n"/>
      <c r="C69" s="6" t="n"/>
      <c r="D69" s="6" t="n"/>
      <c r="E69" s="7" t="n"/>
      <c r="F69" s="7" t="n"/>
      <c r="G69" s="7" t="n"/>
      <c r="H69" s="3">
        <f>IFERROR(VLOOKUP(B69,Inventory!$A:$B,2,FALSE)*D69,0)</f>
        <v/>
      </c>
      <c r="I69" s="3">
        <f>IF(C69="",0,IFERROR(VLOOKUP(C69,Settings!$A$2:$F$5,2,FALSE)+(E69*D69+F69)*VLOOKUP(C69,Settings!$A$2:$F$5,3,FALSE)/100+(E69*D69+F69)*VLOOKUP(C69,Settings!$A$2:$F$5,4,FALSE)/100+VLOOKUP(C69,Settings!$A$2:$F$5,5,FALSE)+VLOOKUP(C69,Settings!$A$2:$F$5,6,FALSE),0))</f>
        <v/>
      </c>
      <c r="J69" s="3">
        <f>IF(B69="","",IF(ISNA(MATCH(B69,Inventory!$A$2:$A$201,0)),"Check product",E69*D69+F69-I69-G69-H69))</f>
        <v/>
      </c>
      <c r="K69" s="4">
        <f>IF(OR(B69="",NOT(ISNUMBER(J69)),E69*D69+F69=0),"",J69/(E69*D69+F69))</f>
        <v/>
      </c>
    </row>
    <row r="70">
      <c r="A70" s="8" t="n"/>
      <c r="B70" s="6" t="n"/>
      <c r="C70" s="6" t="n"/>
      <c r="D70" s="6" t="n"/>
      <c r="E70" s="7" t="n"/>
      <c r="F70" s="7" t="n"/>
      <c r="G70" s="7" t="n"/>
      <c r="H70" s="3">
        <f>IFERROR(VLOOKUP(B70,Inventory!$A:$B,2,FALSE)*D70,0)</f>
        <v/>
      </c>
      <c r="I70" s="3">
        <f>IF(C70="",0,IFERROR(VLOOKUP(C70,Settings!$A$2:$F$5,2,FALSE)+(E70*D70+F70)*VLOOKUP(C70,Settings!$A$2:$F$5,3,FALSE)/100+(E70*D70+F70)*VLOOKUP(C70,Settings!$A$2:$F$5,4,FALSE)/100+VLOOKUP(C70,Settings!$A$2:$F$5,5,FALSE)+VLOOKUP(C70,Settings!$A$2:$F$5,6,FALSE),0))</f>
        <v/>
      </c>
      <c r="J70" s="3">
        <f>IF(B70="","",IF(ISNA(MATCH(B70,Inventory!$A$2:$A$201,0)),"Check product",E70*D70+F70-I70-G70-H70))</f>
        <v/>
      </c>
      <c r="K70" s="4">
        <f>IF(OR(B70="",NOT(ISNUMBER(J70)),E70*D70+F70=0),"",J70/(E70*D70+F70))</f>
        <v/>
      </c>
    </row>
    <row r="71">
      <c r="A71" s="8" t="n"/>
      <c r="B71" s="6" t="n"/>
      <c r="C71" s="6" t="n"/>
      <c r="D71" s="6" t="n"/>
      <c r="E71" s="7" t="n"/>
      <c r="F71" s="7" t="n"/>
      <c r="G71" s="7" t="n"/>
      <c r="H71" s="3">
        <f>IFERROR(VLOOKUP(B71,Inventory!$A:$B,2,FALSE)*D71,0)</f>
        <v/>
      </c>
      <c r="I71" s="3">
        <f>IF(C71="",0,IFERROR(VLOOKUP(C71,Settings!$A$2:$F$5,2,FALSE)+(E71*D71+F71)*VLOOKUP(C71,Settings!$A$2:$F$5,3,FALSE)/100+(E71*D71+F71)*VLOOKUP(C71,Settings!$A$2:$F$5,4,FALSE)/100+VLOOKUP(C71,Settings!$A$2:$F$5,5,FALSE)+VLOOKUP(C71,Settings!$A$2:$F$5,6,FALSE),0))</f>
        <v/>
      </c>
      <c r="J71" s="3">
        <f>IF(B71="","",IF(ISNA(MATCH(B71,Inventory!$A$2:$A$201,0)),"Check product",E71*D71+F71-I71-G71-H71))</f>
        <v/>
      </c>
      <c r="K71" s="4">
        <f>IF(OR(B71="",NOT(ISNUMBER(J71)),E71*D71+F71=0),"",J71/(E71*D71+F71))</f>
        <v/>
      </c>
    </row>
    <row r="72">
      <c r="A72" s="8" t="n"/>
      <c r="B72" s="6" t="n"/>
      <c r="C72" s="6" t="n"/>
      <c r="D72" s="6" t="n"/>
      <c r="E72" s="7" t="n"/>
      <c r="F72" s="7" t="n"/>
      <c r="G72" s="7" t="n"/>
      <c r="H72" s="3">
        <f>IFERROR(VLOOKUP(B72,Inventory!$A:$B,2,FALSE)*D72,0)</f>
        <v/>
      </c>
      <c r="I72" s="3">
        <f>IF(C72="",0,IFERROR(VLOOKUP(C72,Settings!$A$2:$F$5,2,FALSE)+(E72*D72+F72)*VLOOKUP(C72,Settings!$A$2:$F$5,3,FALSE)/100+(E72*D72+F72)*VLOOKUP(C72,Settings!$A$2:$F$5,4,FALSE)/100+VLOOKUP(C72,Settings!$A$2:$F$5,5,FALSE)+VLOOKUP(C72,Settings!$A$2:$F$5,6,FALSE),0))</f>
        <v/>
      </c>
      <c r="J72" s="3">
        <f>IF(B72="","",IF(ISNA(MATCH(B72,Inventory!$A$2:$A$201,0)),"Check product",E72*D72+F72-I72-G72-H72))</f>
        <v/>
      </c>
      <c r="K72" s="4">
        <f>IF(OR(B72="",NOT(ISNUMBER(J72)),E72*D72+F72=0),"",J72/(E72*D72+F72))</f>
        <v/>
      </c>
    </row>
    <row r="73">
      <c r="A73" s="8" t="n"/>
      <c r="B73" s="6" t="n"/>
      <c r="C73" s="6" t="n"/>
      <c r="D73" s="6" t="n"/>
      <c r="E73" s="7" t="n"/>
      <c r="F73" s="7" t="n"/>
      <c r="G73" s="7" t="n"/>
      <c r="H73" s="3">
        <f>IFERROR(VLOOKUP(B73,Inventory!$A:$B,2,FALSE)*D73,0)</f>
        <v/>
      </c>
      <c r="I73" s="3">
        <f>IF(C73="",0,IFERROR(VLOOKUP(C73,Settings!$A$2:$F$5,2,FALSE)+(E73*D73+F73)*VLOOKUP(C73,Settings!$A$2:$F$5,3,FALSE)/100+(E73*D73+F73)*VLOOKUP(C73,Settings!$A$2:$F$5,4,FALSE)/100+VLOOKUP(C73,Settings!$A$2:$F$5,5,FALSE)+VLOOKUP(C73,Settings!$A$2:$F$5,6,FALSE),0))</f>
        <v/>
      </c>
      <c r="J73" s="3">
        <f>IF(B73="","",IF(ISNA(MATCH(B73,Inventory!$A$2:$A$201,0)),"Check product",E73*D73+F73-I73-G73-H73))</f>
        <v/>
      </c>
      <c r="K73" s="4">
        <f>IF(OR(B73="",NOT(ISNUMBER(J73)),E73*D73+F73=0),"",J73/(E73*D73+F73))</f>
        <v/>
      </c>
    </row>
    <row r="74">
      <c r="A74" s="8" t="n"/>
      <c r="B74" s="6" t="n"/>
      <c r="C74" s="6" t="n"/>
      <c r="D74" s="6" t="n"/>
      <c r="E74" s="7" t="n"/>
      <c r="F74" s="7" t="n"/>
      <c r="G74" s="7" t="n"/>
      <c r="H74" s="3">
        <f>IFERROR(VLOOKUP(B74,Inventory!$A:$B,2,FALSE)*D74,0)</f>
        <v/>
      </c>
      <c r="I74" s="3">
        <f>IF(C74="",0,IFERROR(VLOOKUP(C74,Settings!$A$2:$F$5,2,FALSE)+(E74*D74+F74)*VLOOKUP(C74,Settings!$A$2:$F$5,3,FALSE)/100+(E74*D74+F74)*VLOOKUP(C74,Settings!$A$2:$F$5,4,FALSE)/100+VLOOKUP(C74,Settings!$A$2:$F$5,5,FALSE)+VLOOKUP(C74,Settings!$A$2:$F$5,6,FALSE),0))</f>
        <v/>
      </c>
      <c r="J74" s="3">
        <f>IF(B74="","",IF(ISNA(MATCH(B74,Inventory!$A$2:$A$201,0)),"Check product",E74*D74+F74-I74-G74-H74))</f>
        <v/>
      </c>
      <c r="K74" s="4">
        <f>IF(OR(B74="",NOT(ISNUMBER(J74)),E74*D74+F74=0),"",J74/(E74*D74+F74))</f>
        <v/>
      </c>
    </row>
    <row r="75">
      <c r="A75" s="8" t="n"/>
      <c r="B75" s="6" t="n"/>
      <c r="C75" s="6" t="n"/>
      <c r="D75" s="6" t="n"/>
      <c r="E75" s="7" t="n"/>
      <c r="F75" s="7" t="n"/>
      <c r="G75" s="7" t="n"/>
      <c r="H75" s="3">
        <f>IFERROR(VLOOKUP(B75,Inventory!$A:$B,2,FALSE)*D75,0)</f>
        <v/>
      </c>
      <c r="I75" s="3">
        <f>IF(C75="",0,IFERROR(VLOOKUP(C75,Settings!$A$2:$F$5,2,FALSE)+(E75*D75+F75)*VLOOKUP(C75,Settings!$A$2:$F$5,3,FALSE)/100+(E75*D75+F75)*VLOOKUP(C75,Settings!$A$2:$F$5,4,FALSE)/100+VLOOKUP(C75,Settings!$A$2:$F$5,5,FALSE)+VLOOKUP(C75,Settings!$A$2:$F$5,6,FALSE),0))</f>
        <v/>
      </c>
      <c r="J75" s="3">
        <f>IF(B75="","",IF(ISNA(MATCH(B75,Inventory!$A$2:$A$201,0)),"Check product",E75*D75+F75-I75-G75-H75))</f>
        <v/>
      </c>
      <c r="K75" s="4">
        <f>IF(OR(B75="",NOT(ISNUMBER(J75)),E75*D75+F75=0),"",J75/(E75*D75+F75))</f>
        <v/>
      </c>
    </row>
    <row r="76">
      <c r="A76" s="8" t="n"/>
      <c r="B76" s="6" t="n"/>
      <c r="C76" s="6" t="n"/>
      <c r="D76" s="6" t="n"/>
      <c r="E76" s="7" t="n"/>
      <c r="F76" s="7" t="n"/>
      <c r="G76" s="7" t="n"/>
      <c r="H76" s="3">
        <f>IFERROR(VLOOKUP(B76,Inventory!$A:$B,2,FALSE)*D76,0)</f>
        <v/>
      </c>
      <c r="I76" s="3">
        <f>IF(C76="",0,IFERROR(VLOOKUP(C76,Settings!$A$2:$F$5,2,FALSE)+(E76*D76+F76)*VLOOKUP(C76,Settings!$A$2:$F$5,3,FALSE)/100+(E76*D76+F76)*VLOOKUP(C76,Settings!$A$2:$F$5,4,FALSE)/100+VLOOKUP(C76,Settings!$A$2:$F$5,5,FALSE)+VLOOKUP(C76,Settings!$A$2:$F$5,6,FALSE),0))</f>
        <v/>
      </c>
      <c r="J76" s="3">
        <f>IF(B76="","",IF(ISNA(MATCH(B76,Inventory!$A$2:$A$201,0)),"Check product",E76*D76+F76-I76-G76-H76))</f>
        <v/>
      </c>
      <c r="K76" s="4">
        <f>IF(OR(B76="",NOT(ISNUMBER(J76)),E76*D76+F76=0),"",J76/(E76*D76+F76))</f>
        <v/>
      </c>
    </row>
    <row r="77">
      <c r="A77" s="8" t="n"/>
      <c r="B77" s="6" t="n"/>
      <c r="C77" s="6" t="n"/>
      <c r="D77" s="6" t="n"/>
      <c r="E77" s="7" t="n"/>
      <c r="F77" s="7" t="n"/>
      <c r="G77" s="7" t="n"/>
      <c r="H77" s="3">
        <f>IFERROR(VLOOKUP(B77,Inventory!$A:$B,2,FALSE)*D77,0)</f>
        <v/>
      </c>
      <c r="I77" s="3">
        <f>IF(C77="",0,IFERROR(VLOOKUP(C77,Settings!$A$2:$F$5,2,FALSE)+(E77*D77+F77)*VLOOKUP(C77,Settings!$A$2:$F$5,3,FALSE)/100+(E77*D77+F77)*VLOOKUP(C77,Settings!$A$2:$F$5,4,FALSE)/100+VLOOKUP(C77,Settings!$A$2:$F$5,5,FALSE)+VLOOKUP(C77,Settings!$A$2:$F$5,6,FALSE),0))</f>
        <v/>
      </c>
      <c r="J77" s="3">
        <f>IF(B77="","",IF(ISNA(MATCH(B77,Inventory!$A$2:$A$201,0)),"Check product",E77*D77+F77-I77-G77-H77))</f>
        <v/>
      </c>
      <c r="K77" s="4">
        <f>IF(OR(B77="",NOT(ISNUMBER(J77)),E77*D77+F77=0),"",J77/(E77*D77+F77))</f>
        <v/>
      </c>
    </row>
    <row r="78">
      <c r="A78" s="8" t="n"/>
      <c r="B78" s="6" t="n"/>
      <c r="C78" s="6" t="n"/>
      <c r="D78" s="6" t="n"/>
      <c r="E78" s="7" t="n"/>
      <c r="F78" s="7" t="n"/>
      <c r="G78" s="7" t="n"/>
      <c r="H78" s="3">
        <f>IFERROR(VLOOKUP(B78,Inventory!$A:$B,2,FALSE)*D78,0)</f>
        <v/>
      </c>
      <c r="I78" s="3">
        <f>IF(C78="",0,IFERROR(VLOOKUP(C78,Settings!$A$2:$F$5,2,FALSE)+(E78*D78+F78)*VLOOKUP(C78,Settings!$A$2:$F$5,3,FALSE)/100+(E78*D78+F78)*VLOOKUP(C78,Settings!$A$2:$F$5,4,FALSE)/100+VLOOKUP(C78,Settings!$A$2:$F$5,5,FALSE)+VLOOKUP(C78,Settings!$A$2:$F$5,6,FALSE),0))</f>
        <v/>
      </c>
      <c r="J78" s="3">
        <f>IF(B78="","",IF(ISNA(MATCH(B78,Inventory!$A$2:$A$201,0)),"Check product",E78*D78+F78-I78-G78-H78))</f>
        <v/>
      </c>
      <c r="K78" s="4">
        <f>IF(OR(B78="",NOT(ISNUMBER(J78)),E78*D78+F78=0),"",J78/(E78*D78+F78))</f>
        <v/>
      </c>
    </row>
    <row r="79">
      <c r="A79" s="8" t="n"/>
      <c r="B79" s="6" t="n"/>
      <c r="C79" s="6" t="n"/>
      <c r="D79" s="6" t="n"/>
      <c r="E79" s="7" t="n"/>
      <c r="F79" s="7" t="n"/>
      <c r="G79" s="7" t="n"/>
      <c r="H79" s="3">
        <f>IFERROR(VLOOKUP(B79,Inventory!$A:$B,2,FALSE)*D79,0)</f>
        <v/>
      </c>
      <c r="I79" s="3">
        <f>IF(C79="",0,IFERROR(VLOOKUP(C79,Settings!$A$2:$F$5,2,FALSE)+(E79*D79+F79)*VLOOKUP(C79,Settings!$A$2:$F$5,3,FALSE)/100+(E79*D79+F79)*VLOOKUP(C79,Settings!$A$2:$F$5,4,FALSE)/100+VLOOKUP(C79,Settings!$A$2:$F$5,5,FALSE)+VLOOKUP(C79,Settings!$A$2:$F$5,6,FALSE),0))</f>
        <v/>
      </c>
      <c r="J79" s="3">
        <f>IF(B79="","",IF(ISNA(MATCH(B79,Inventory!$A$2:$A$201,0)),"Check product",E79*D79+F79-I79-G79-H79))</f>
        <v/>
      </c>
      <c r="K79" s="4">
        <f>IF(OR(B79="",NOT(ISNUMBER(J79)),E79*D79+F79=0),"",J79/(E79*D79+F79))</f>
        <v/>
      </c>
    </row>
    <row r="80">
      <c r="A80" s="8" t="n"/>
      <c r="B80" s="6" t="n"/>
      <c r="C80" s="6" t="n"/>
      <c r="D80" s="6" t="n"/>
      <c r="E80" s="7" t="n"/>
      <c r="F80" s="7" t="n"/>
      <c r="G80" s="7" t="n"/>
      <c r="H80" s="3">
        <f>IFERROR(VLOOKUP(B80,Inventory!$A:$B,2,FALSE)*D80,0)</f>
        <v/>
      </c>
      <c r="I80" s="3">
        <f>IF(C80="",0,IFERROR(VLOOKUP(C80,Settings!$A$2:$F$5,2,FALSE)+(E80*D80+F80)*VLOOKUP(C80,Settings!$A$2:$F$5,3,FALSE)/100+(E80*D80+F80)*VLOOKUP(C80,Settings!$A$2:$F$5,4,FALSE)/100+VLOOKUP(C80,Settings!$A$2:$F$5,5,FALSE)+VLOOKUP(C80,Settings!$A$2:$F$5,6,FALSE),0))</f>
        <v/>
      </c>
      <c r="J80" s="3">
        <f>IF(B80="","",IF(ISNA(MATCH(B80,Inventory!$A$2:$A$201,0)),"Check product",E80*D80+F80-I80-G80-H80))</f>
        <v/>
      </c>
      <c r="K80" s="4">
        <f>IF(OR(B80="",NOT(ISNUMBER(J80)),E80*D80+F80=0),"",J80/(E80*D80+F80))</f>
        <v/>
      </c>
    </row>
    <row r="81">
      <c r="A81" s="8" t="n"/>
      <c r="B81" s="6" t="n"/>
      <c r="C81" s="6" t="n"/>
      <c r="D81" s="6" t="n"/>
      <c r="E81" s="7" t="n"/>
      <c r="F81" s="7" t="n"/>
      <c r="G81" s="7" t="n"/>
      <c r="H81" s="3">
        <f>IFERROR(VLOOKUP(B81,Inventory!$A:$B,2,FALSE)*D81,0)</f>
        <v/>
      </c>
      <c r="I81" s="3">
        <f>IF(C81="",0,IFERROR(VLOOKUP(C81,Settings!$A$2:$F$5,2,FALSE)+(E81*D81+F81)*VLOOKUP(C81,Settings!$A$2:$F$5,3,FALSE)/100+(E81*D81+F81)*VLOOKUP(C81,Settings!$A$2:$F$5,4,FALSE)/100+VLOOKUP(C81,Settings!$A$2:$F$5,5,FALSE)+VLOOKUP(C81,Settings!$A$2:$F$5,6,FALSE),0))</f>
        <v/>
      </c>
      <c r="J81" s="3">
        <f>IF(B81="","",IF(ISNA(MATCH(B81,Inventory!$A$2:$A$201,0)),"Check product",E81*D81+F81-I81-G81-H81))</f>
        <v/>
      </c>
      <c r="K81" s="4">
        <f>IF(OR(B81="",NOT(ISNUMBER(J81)),E81*D81+F81=0),"",J81/(E81*D81+F81))</f>
        <v/>
      </c>
    </row>
    <row r="82">
      <c r="A82" s="8" t="n"/>
      <c r="B82" s="6" t="n"/>
      <c r="C82" s="6" t="n"/>
      <c r="D82" s="6" t="n"/>
      <c r="E82" s="7" t="n"/>
      <c r="F82" s="7" t="n"/>
      <c r="G82" s="7" t="n"/>
      <c r="H82" s="3">
        <f>IFERROR(VLOOKUP(B82,Inventory!$A:$B,2,FALSE)*D82,0)</f>
        <v/>
      </c>
      <c r="I82" s="3">
        <f>IF(C82="",0,IFERROR(VLOOKUP(C82,Settings!$A$2:$F$5,2,FALSE)+(E82*D82+F82)*VLOOKUP(C82,Settings!$A$2:$F$5,3,FALSE)/100+(E82*D82+F82)*VLOOKUP(C82,Settings!$A$2:$F$5,4,FALSE)/100+VLOOKUP(C82,Settings!$A$2:$F$5,5,FALSE)+VLOOKUP(C82,Settings!$A$2:$F$5,6,FALSE),0))</f>
        <v/>
      </c>
      <c r="J82" s="3">
        <f>IF(B82="","",IF(ISNA(MATCH(B82,Inventory!$A$2:$A$201,0)),"Check product",E82*D82+F82-I82-G82-H82))</f>
        <v/>
      </c>
      <c r="K82" s="4">
        <f>IF(OR(B82="",NOT(ISNUMBER(J82)),E82*D82+F82=0),"",J82/(E82*D82+F82))</f>
        <v/>
      </c>
    </row>
    <row r="83">
      <c r="A83" s="8" t="n"/>
      <c r="B83" s="6" t="n"/>
      <c r="C83" s="6" t="n"/>
      <c r="D83" s="6" t="n"/>
      <c r="E83" s="7" t="n"/>
      <c r="F83" s="7" t="n"/>
      <c r="G83" s="7" t="n"/>
      <c r="H83" s="3">
        <f>IFERROR(VLOOKUP(B83,Inventory!$A:$B,2,FALSE)*D83,0)</f>
        <v/>
      </c>
      <c r="I83" s="3">
        <f>IF(C83="",0,IFERROR(VLOOKUP(C83,Settings!$A$2:$F$5,2,FALSE)+(E83*D83+F83)*VLOOKUP(C83,Settings!$A$2:$F$5,3,FALSE)/100+(E83*D83+F83)*VLOOKUP(C83,Settings!$A$2:$F$5,4,FALSE)/100+VLOOKUP(C83,Settings!$A$2:$F$5,5,FALSE)+VLOOKUP(C83,Settings!$A$2:$F$5,6,FALSE),0))</f>
        <v/>
      </c>
      <c r="J83" s="3">
        <f>IF(B83="","",IF(ISNA(MATCH(B83,Inventory!$A$2:$A$201,0)),"Check product",E83*D83+F83-I83-G83-H83))</f>
        <v/>
      </c>
      <c r="K83" s="4">
        <f>IF(OR(B83="",NOT(ISNUMBER(J83)),E83*D83+F83=0),"",J83/(E83*D83+F83))</f>
        <v/>
      </c>
    </row>
    <row r="84">
      <c r="A84" s="8" t="n"/>
      <c r="B84" s="6" t="n"/>
      <c r="C84" s="6" t="n"/>
      <c r="D84" s="6" t="n"/>
      <c r="E84" s="7" t="n"/>
      <c r="F84" s="7" t="n"/>
      <c r="G84" s="7" t="n"/>
      <c r="H84" s="3">
        <f>IFERROR(VLOOKUP(B84,Inventory!$A:$B,2,FALSE)*D84,0)</f>
        <v/>
      </c>
      <c r="I84" s="3">
        <f>IF(C84="",0,IFERROR(VLOOKUP(C84,Settings!$A$2:$F$5,2,FALSE)+(E84*D84+F84)*VLOOKUP(C84,Settings!$A$2:$F$5,3,FALSE)/100+(E84*D84+F84)*VLOOKUP(C84,Settings!$A$2:$F$5,4,FALSE)/100+VLOOKUP(C84,Settings!$A$2:$F$5,5,FALSE)+VLOOKUP(C84,Settings!$A$2:$F$5,6,FALSE),0))</f>
        <v/>
      </c>
      <c r="J84" s="3">
        <f>IF(B84="","",IF(ISNA(MATCH(B84,Inventory!$A$2:$A$201,0)),"Check product",E84*D84+F84-I84-G84-H84))</f>
        <v/>
      </c>
      <c r="K84" s="4">
        <f>IF(OR(B84="",NOT(ISNUMBER(J84)),E84*D84+F84=0),"",J84/(E84*D84+F84))</f>
        <v/>
      </c>
    </row>
    <row r="85">
      <c r="A85" s="8" t="n"/>
      <c r="B85" s="6" t="n"/>
      <c r="C85" s="6" t="n"/>
      <c r="D85" s="6" t="n"/>
      <c r="E85" s="7" t="n"/>
      <c r="F85" s="7" t="n"/>
      <c r="G85" s="7" t="n"/>
      <c r="H85" s="3">
        <f>IFERROR(VLOOKUP(B85,Inventory!$A:$B,2,FALSE)*D85,0)</f>
        <v/>
      </c>
      <c r="I85" s="3">
        <f>IF(C85="",0,IFERROR(VLOOKUP(C85,Settings!$A$2:$F$5,2,FALSE)+(E85*D85+F85)*VLOOKUP(C85,Settings!$A$2:$F$5,3,FALSE)/100+(E85*D85+F85)*VLOOKUP(C85,Settings!$A$2:$F$5,4,FALSE)/100+VLOOKUP(C85,Settings!$A$2:$F$5,5,FALSE)+VLOOKUP(C85,Settings!$A$2:$F$5,6,FALSE),0))</f>
        <v/>
      </c>
      <c r="J85" s="3">
        <f>IF(B85="","",IF(ISNA(MATCH(B85,Inventory!$A$2:$A$201,0)),"Check product",E85*D85+F85-I85-G85-H85))</f>
        <v/>
      </c>
      <c r="K85" s="4">
        <f>IF(OR(B85="",NOT(ISNUMBER(J85)),E85*D85+F85=0),"",J85/(E85*D85+F85))</f>
        <v/>
      </c>
    </row>
    <row r="86">
      <c r="A86" s="8" t="n"/>
      <c r="B86" s="6" t="n"/>
      <c r="C86" s="6" t="n"/>
      <c r="D86" s="6" t="n"/>
      <c r="E86" s="7" t="n"/>
      <c r="F86" s="7" t="n"/>
      <c r="G86" s="7" t="n"/>
      <c r="H86" s="3">
        <f>IFERROR(VLOOKUP(B86,Inventory!$A:$B,2,FALSE)*D86,0)</f>
        <v/>
      </c>
      <c r="I86" s="3">
        <f>IF(C86="",0,IFERROR(VLOOKUP(C86,Settings!$A$2:$F$5,2,FALSE)+(E86*D86+F86)*VLOOKUP(C86,Settings!$A$2:$F$5,3,FALSE)/100+(E86*D86+F86)*VLOOKUP(C86,Settings!$A$2:$F$5,4,FALSE)/100+VLOOKUP(C86,Settings!$A$2:$F$5,5,FALSE)+VLOOKUP(C86,Settings!$A$2:$F$5,6,FALSE),0))</f>
        <v/>
      </c>
      <c r="J86" s="3">
        <f>IF(B86="","",IF(ISNA(MATCH(B86,Inventory!$A$2:$A$201,0)),"Check product",E86*D86+F86-I86-G86-H86))</f>
        <v/>
      </c>
      <c r="K86" s="4">
        <f>IF(OR(B86="",NOT(ISNUMBER(J86)),E86*D86+F86=0),"",J86/(E86*D86+F86))</f>
        <v/>
      </c>
    </row>
    <row r="87">
      <c r="A87" s="8" t="n"/>
      <c r="B87" s="6" t="n"/>
      <c r="C87" s="6" t="n"/>
      <c r="D87" s="6" t="n"/>
      <c r="E87" s="7" t="n"/>
      <c r="F87" s="7" t="n"/>
      <c r="G87" s="7" t="n"/>
      <c r="H87" s="3">
        <f>IFERROR(VLOOKUP(B87,Inventory!$A:$B,2,FALSE)*D87,0)</f>
        <v/>
      </c>
      <c r="I87" s="3">
        <f>IF(C87="",0,IFERROR(VLOOKUP(C87,Settings!$A$2:$F$5,2,FALSE)+(E87*D87+F87)*VLOOKUP(C87,Settings!$A$2:$F$5,3,FALSE)/100+(E87*D87+F87)*VLOOKUP(C87,Settings!$A$2:$F$5,4,FALSE)/100+VLOOKUP(C87,Settings!$A$2:$F$5,5,FALSE)+VLOOKUP(C87,Settings!$A$2:$F$5,6,FALSE),0))</f>
        <v/>
      </c>
      <c r="J87" s="3">
        <f>IF(B87="","",IF(ISNA(MATCH(B87,Inventory!$A$2:$A$201,0)),"Check product",E87*D87+F87-I87-G87-H87))</f>
        <v/>
      </c>
      <c r="K87" s="4">
        <f>IF(OR(B87="",NOT(ISNUMBER(J87)),E87*D87+F87=0),"",J87/(E87*D87+F87))</f>
        <v/>
      </c>
    </row>
    <row r="88">
      <c r="A88" s="8" t="n"/>
      <c r="B88" s="6" t="n"/>
      <c r="C88" s="6" t="n"/>
      <c r="D88" s="6" t="n"/>
      <c r="E88" s="7" t="n"/>
      <c r="F88" s="7" t="n"/>
      <c r="G88" s="7" t="n"/>
      <c r="H88" s="3">
        <f>IFERROR(VLOOKUP(B88,Inventory!$A:$B,2,FALSE)*D88,0)</f>
        <v/>
      </c>
      <c r="I88" s="3">
        <f>IF(C88="",0,IFERROR(VLOOKUP(C88,Settings!$A$2:$F$5,2,FALSE)+(E88*D88+F88)*VLOOKUP(C88,Settings!$A$2:$F$5,3,FALSE)/100+(E88*D88+F88)*VLOOKUP(C88,Settings!$A$2:$F$5,4,FALSE)/100+VLOOKUP(C88,Settings!$A$2:$F$5,5,FALSE)+VLOOKUP(C88,Settings!$A$2:$F$5,6,FALSE),0))</f>
        <v/>
      </c>
      <c r="J88" s="3">
        <f>IF(B88="","",IF(ISNA(MATCH(B88,Inventory!$A$2:$A$201,0)),"Check product",E88*D88+F88-I88-G88-H88))</f>
        <v/>
      </c>
      <c r="K88" s="4">
        <f>IF(OR(B88="",NOT(ISNUMBER(J88)),E88*D88+F88=0),"",J88/(E88*D88+F88))</f>
        <v/>
      </c>
    </row>
    <row r="89">
      <c r="A89" s="8" t="n"/>
      <c r="B89" s="6" t="n"/>
      <c r="C89" s="6" t="n"/>
      <c r="D89" s="6" t="n"/>
      <c r="E89" s="7" t="n"/>
      <c r="F89" s="7" t="n"/>
      <c r="G89" s="7" t="n"/>
      <c r="H89" s="3">
        <f>IFERROR(VLOOKUP(B89,Inventory!$A:$B,2,FALSE)*D89,0)</f>
        <v/>
      </c>
      <c r="I89" s="3">
        <f>IF(C89="",0,IFERROR(VLOOKUP(C89,Settings!$A$2:$F$5,2,FALSE)+(E89*D89+F89)*VLOOKUP(C89,Settings!$A$2:$F$5,3,FALSE)/100+(E89*D89+F89)*VLOOKUP(C89,Settings!$A$2:$F$5,4,FALSE)/100+VLOOKUP(C89,Settings!$A$2:$F$5,5,FALSE)+VLOOKUP(C89,Settings!$A$2:$F$5,6,FALSE),0))</f>
        <v/>
      </c>
      <c r="J89" s="3">
        <f>IF(B89="","",IF(ISNA(MATCH(B89,Inventory!$A$2:$A$201,0)),"Check product",E89*D89+F89-I89-G89-H89))</f>
        <v/>
      </c>
      <c r="K89" s="4">
        <f>IF(OR(B89="",NOT(ISNUMBER(J89)),E89*D89+F89=0),"",J89/(E89*D89+F89))</f>
        <v/>
      </c>
    </row>
    <row r="90">
      <c r="A90" s="8" t="n"/>
      <c r="B90" s="6" t="n"/>
      <c r="C90" s="6" t="n"/>
      <c r="D90" s="6" t="n"/>
      <c r="E90" s="7" t="n"/>
      <c r="F90" s="7" t="n"/>
      <c r="G90" s="7" t="n"/>
      <c r="H90" s="3">
        <f>IFERROR(VLOOKUP(B90,Inventory!$A:$B,2,FALSE)*D90,0)</f>
        <v/>
      </c>
      <c r="I90" s="3">
        <f>IF(C90="",0,IFERROR(VLOOKUP(C90,Settings!$A$2:$F$5,2,FALSE)+(E90*D90+F90)*VLOOKUP(C90,Settings!$A$2:$F$5,3,FALSE)/100+(E90*D90+F90)*VLOOKUP(C90,Settings!$A$2:$F$5,4,FALSE)/100+VLOOKUP(C90,Settings!$A$2:$F$5,5,FALSE)+VLOOKUP(C90,Settings!$A$2:$F$5,6,FALSE),0))</f>
        <v/>
      </c>
      <c r="J90" s="3">
        <f>IF(B90="","",IF(ISNA(MATCH(B90,Inventory!$A$2:$A$201,0)),"Check product",E90*D90+F90-I90-G90-H90))</f>
        <v/>
      </c>
      <c r="K90" s="4">
        <f>IF(OR(B90="",NOT(ISNUMBER(J90)),E90*D90+F90=0),"",J90/(E90*D90+F90))</f>
        <v/>
      </c>
    </row>
    <row r="91">
      <c r="A91" s="8" t="n"/>
      <c r="B91" s="6" t="n"/>
      <c r="C91" s="6" t="n"/>
      <c r="D91" s="6" t="n"/>
      <c r="E91" s="7" t="n"/>
      <c r="F91" s="7" t="n"/>
      <c r="G91" s="7" t="n"/>
      <c r="H91" s="3">
        <f>IFERROR(VLOOKUP(B91,Inventory!$A:$B,2,FALSE)*D91,0)</f>
        <v/>
      </c>
      <c r="I91" s="3">
        <f>IF(C91="",0,IFERROR(VLOOKUP(C91,Settings!$A$2:$F$5,2,FALSE)+(E91*D91+F91)*VLOOKUP(C91,Settings!$A$2:$F$5,3,FALSE)/100+(E91*D91+F91)*VLOOKUP(C91,Settings!$A$2:$F$5,4,FALSE)/100+VLOOKUP(C91,Settings!$A$2:$F$5,5,FALSE)+VLOOKUP(C91,Settings!$A$2:$F$5,6,FALSE),0))</f>
        <v/>
      </c>
      <c r="J91" s="3">
        <f>IF(B91="","",IF(ISNA(MATCH(B91,Inventory!$A$2:$A$201,0)),"Check product",E91*D91+F91-I91-G91-H91))</f>
        <v/>
      </c>
      <c r="K91" s="4">
        <f>IF(OR(B91="",NOT(ISNUMBER(J91)),E91*D91+F91=0),"",J91/(E91*D91+F91))</f>
        <v/>
      </c>
    </row>
    <row r="92">
      <c r="A92" s="8" t="n"/>
      <c r="B92" s="6" t="n"/>
      <c r="C92" s="6" t="n"/>
      <c r="D92" s="6" t="n"/>
      <c r="E92" s="7" t="n"/>
      <c r="F92" s="7" t="n"/>
      <c r="G92" s="7" t="n"/>
      <c r="H92" s="3">
        <f>IFERROR(VLOOKUP(B92,Inventory!$A:$B,2,FALSE)*D92,0)</f>
        <v/>
      </c>
      <c r="I92" s="3">
        <f>IF(C92="",0,IFERROR(VLOOKUP(C92,Settings!$A$2:$F$5,2,FALSE)+(E92*D92+F92)*VLOOKUP(C92,Settings!$A$2:$F$5,3,FALSE)/100+(E92*D92+F92)*VLOOKUP(C92,Settings!$A$2:$F$5,4,FALSE)/100+VLOOKUP(C92,Settings!$A$2:$F$5,5,FALSE)+VLOOKUP(C92,Settings!$A$2:$F$5,6,FALSE),0))</f>
        <v/>
      </c>
      <c r="J92" s="3">
        <f>IF(B92="","",IF(ISNA(MATCH(B92,Inventory!$A$2:$A$201,0)),"Check product",E92*D92+F92-I92-G92-H92))</f>
        <v/>
      </c>
      <c r="K92" s="4">
        <f>IF(OR(B92="",NOT(ISNUMBER(J92)),E92*D92+F92=0),"",J92/(E92*D92+F92))</f>
        <v/>
      </c>
    </row>
    <row r="93">
      <c r="A93" s="8" t="n"/>
      <c r="B93" s="6" t="n"/>
      <c r="C93" s="6" t="n"/>
      <c r="D93" s="6" t="n"/>
      <c r="E93" s="7" t="n"/>
      <c r="F93" s="7" t="n"/>
      <c r="G93" s="7" t="n"/>
      <c r="H93" s="3">
        <f>IFERROR(VLOOKUP(B93,Inventory!$A:$B,2,FALSE)*D93,0)</f>
        <v/>
      </c>
      <c r="I93" s="3">
        <f>IF(C93="",0,IFERROR(VLOOKUP(C93,Settings!$A$2:$F$5,2,FALSE)+(E93*D93+F93)*VLOOKUP(C93,Settings!$A$2:$F$5,3,FALSE)/100+(E93*D93+F93)*VLOOKUP(C93,Settings!$A$2:$F$5,4,FALSE)/100+VLOOKUP(C93,Settings!$A$2:$F$5,5,FALSE)+VLOOKUP(C93,Settings!$A$2:$F$5,6,FALSE),0))</f>
        <v/>
      </c>
      <c r="J93" s="3">
        <f>IF(B93="","",IF(ISNA(MATCH(B93,Inventory!$A$2:$A$201,0)),"Check product",E93*D93+F93-I93-G93-H93))</f>
        <v/>
      </c>
      <c r="K93" s="4">
        <f>IF(OR(B93="",NOT(ISNUMBER(J93)),E93*D93+F93=0),"",J93/(E93*D93+F93))</f>
        <v/>
      </c>
    </row>
    <row r="94">
      <c r="A94" s="8" t="n"/>
      <c r="B94" s="6" t="n"/>
      <c r="C94" s="6" t="n"/>
      <c r="D94" s="6" t="n"/>
      <c r="E94" s="7" t="n"/>
      <c r="F94" s="7" t="n"/>
      <c r="G94" s="7" t="n"/>
      <c r="H94" s="3">
        <f>IFERROR(VLOOKUP(B94,Inventory!$A:$B,2,FALSE)*D94,0)</f>
        <v/>
      </c>
      <c r="I94" s="3">
        <f>IF(C94="",0,IFERROR(VLOOKUP(C94,Settings!$A$2:$F$5,2,FALSE)+(E94*D94+F94)*VLOOKUP(C94,Settings!$A$2:$F$5,3,FALSE)/100+(E94*D94+F94)*VLOOKUP(C94,Settings!$A$2:$F$5,4,FALSE)/100+VLOOKUP(C94,Settings!$A$2:$F$5,5,FALSE)+VLOOKUP(C94,Settings!$A$2:$F$5,6,FALSE),0))</f>
        <v/>
      </c>
      <c r="J94" s="3">
        <f>IF(B94="","",IF(ISNA(MATCH(B94,Inventory!$A$2:$A$201,0)),"Check product",E94*D94+F94-I94-G94-H94))</f>
        <v/>
      </c>
      <c r="K94" s="4">
        <f>IF(OR(B94="",NOT(ISNUMBER(J94)),E94*D94+F94=0),"",J94/(E94*D94+F94))</f>
        <v/>
      </c>
    </row>
    <row r="95">
      <c r="A95" s="8" t="n"/>
      <c r="B95" s="6" t="n"/>
      <c r="C95" s="6" t="n"/>
      <c r="D95" s="6" t="n"/>
      <c r="E95" s="7" t="n"/>
      <c r="F95" s="7" t="n"/>
      <c r="G95" s="7" t="n"/>
      <c r="H95" s="3">
        <f>IFERROR(VLOOKUP(B95,Inventory!$A:$B,2,FALSE)*D95,0)</f>
        <v/>
      </c>
      <c r="I95" s="3">
        <f>IF(C95="",0,IFERROR(VLOOKUP(C95,Settings!$A$2:$F$5,2,FALSE)+(E95*D95+F95)*VLOOKUP(C95,Settings!$A$2:$F$5,3,FALSE)/100+(E95*D95+F95)*VLOOKUP(C95,Settings!$A$2:$F$5,4,FALSE)/100+VLOOKUP(C95,Settings!$A$2:$F$5,5,FALSE)+VLOOKUP(C95,Settings!$A$2:$F$5,6,FALSE),0))</f>
        <v/>
      </c>
      <c r="J95" s="3">
        <f>IF(B95="","",IF(ISNA(MATCH(B95,Inventory!$A$2:$A$201,0)),"Check product",E95*D95+F95-I95-G95-H95))</f>
        <v/>
      </c>
      <c r="K95" s="4">
        <f>IF(OR(B95="",NOT(ISNUMBER(J95)),E95*D95+F95=0),"",J95/(E95*D95+F95))</f>
        <v/>
      </c>
    </row>
    <row r="96">
      <c r="A96" s="8" t="n"/>
      <c r="B96" s="6" t="n"/>
      <c r="C96" s="6" t="n"/>
      <c r="D96" s="6" t="n"/>
      <c r="E96" s="7" t="n"/>
      <c r="F96" s="7" t="n"/>
      <c r="G96" s="7" t="n"/>
      <c r="H96" s="3">
        <f>IFERROR(VLOOKUP(B96,Inventory!$A:$B,2,FALSE)*D96,0)</f>
        <v/>
      </c>
      <c r="I96" s="3">
        <f>IF(C96="",0,IFERROR(VLOOKUP(C96,Settings!$A$2:$F$5,2,FALSE)+(E96*D96+F96)*VLOOKUP(C96,Settings!$A$2:$F$5,3,FALSE)/100+(E96*D96+F96)*VLOOKUP(C96,Settings!$A$2:$F$5,4,FALSE)/100+VLOOKUP(C96,Settings!$A$2:$F$5,5,FALSE)+VLOOKUP(C96,Settings!$A$2:$F$5,6,FALSE),0))</f>
        <v/>
      </c>
      <c r="J96" s="3">
        <f>IF(B96="","",IF(ISNA(MATCH(B96,Inventory!$A$2:$A$201,0)),"Check product",E96*D96+F96-I96-G96-H96))</f>
        <v/>
      </c>
      <c r="K96" s="4">
        <f>IF(OR(B96="",NOT(ISNUMBER(J96)),E96*D96+F96=0),"",J96/(E96*D96+F96))</f>
        <v/>
      </c>
    </row>
    <row r="97">
      <c r="A97" s="8" t="n"/>
      <c r="B97" s="6" t="n"/>
      <c r="C97" s="6" t="n"/>
      <c r="D97" s="6" t="n"/>
      <c r="E97" s="7" t="n"/>
      <c r="F97" s="7" t="n"/>
      <c r="G97" s="7" t="n"/>
      <c r="H97" s="3">
        <f>IFERROR(VLOOKUP(B97,Inventory!$A:$B,2,FALSE)*D97,0)</f>
        <v/>
      </c>
      <c r="I97" s="3">
        <f>IF(C97="",0,IFERROR(VLOOKUP(C97,Settings!$A$2:$F$5,2,FALSE)+(E97*D97+F97)*VLOOKUP(C97,Settings!$A$2:$F$5,3,FALSE)/100+(E97*D97+F97)*VLOOKUP(C97,Settings!$A$2:$F$5,4,FALSE)/100+VLOOKUP(C97,Settings!$A$2:$F$5,5,FALSE)+VLOOKUP(C97,Settings!$A$2:$F$5,6,FALSE),0))</f>
        <v/>
      </c>
      <c r="J97" s="3">
        <f>IF(B97="","",IF(ISNA(MATCH(B97,Inventory!$A$2:$A$201,0)),"Check product",E97*D97+F97-I97-G97-H97))</f>
        <v/>
      </c>
      <c r="K97" s="4">
        <f>IF(OR(B97="",NOT(ISNUMBER(J97)),E97*D97+F97=0),"",J97/(E97*D97+F97))</f>
        <v/>
      </c>
    </row>
    <row r="98">
      <c r="A98" s="8" t="n"/>
      <c r="B98" s="6" t="n"/>
      <c r="C98" s="6" t="n"/>
      <c r="D98" s="6" t="n"/>
      <c r="E98" s="7" t="n"/>
      <c r="F98" s="7" t="n"/>
      <c r="G98" s="7" t="n"/>
      <c r="H98" s="3">
        <f>IFERROR(VLOOKUP(B98,Inventory!$A:$B,2,FALSE)*D98,0)</f>
        <v/>
      </c>
      <c r="I98" s="3">
        <f>IF(C98="",0,IFERROR(VLOOKUP(C98,Settings!$A$2:$F$5,2,FALSE)+(E98*D98+F98)*VLOOKUP(C98,Settings!$A$2:$F$5,3,FALSE)/100+(E98*D98+F98)*VLOOKUP(C98,Settings!$A$2:$F$5,4,FALSE)/100+VLOOKUP(C98,Settings!$A$2:$F$5,5,FALSE)+VLOOKUP(C98,Settings!$A$2:$F$5,6,FALSE),0))</f>
        <v/>
      </c>
      <c r="J98" s="3">
        <f>IF(B98="","",IF(ISNA(MATCH(B98,Inventory!$A$2:$A$201,0)),"Check product",E98*D98+F98-I98-G98-H98))</f>
        <v/>
      </c>
      <c r="K98" s="4">
        <f>IF(OR(B98="",NOT(ISNUMBER(J98)),E98*D98+F98=0),"",J98/(E98*D98+F98))</f>
        <v/>
      </c>
    </row>
    <row r="99">
      <c r="A99" s="8" t="n"/>
      <c r="B99" s="6" t="n"/>
      <c r="C99" s="6" t="n"/>
      <c r="D99" s="6" t="n"/>
      <c r="E99" s="7" t="n"/>
      <c r="F99" s="7" t="n"/>
      <c r="G99" s="7" t="n"/>
      <c r="H99" s="3">
        <f>IFERROR(VLOOKUP(B99,Inventory!$A:$B,2,FALSE)*D99,0)</f>
        <v/>
      </c>
      <c r="I99" s="3">
        <f>IF(C99="",0,IFERROR(VLOOKUP(C99,Settings!$A$2:$F$5,2,FALSE)+(E99*D99+F99)*VLOOKUP(C99,Settings!$A$2:$F$5,3,FALSE)/100+(E99*D99+F99)*VLOOKUP(C99,Settings!$A$2:$F$5,4,FALSE)/100+VLOOKUP(C99,Settings!$A$2:$F$5,5,FALSE)+VLOOKUP(C99,Settings!$A$2:$F$5,6,FALSE),0))</f>
        <v/>
      </c>
      <c r="J99" s="3">
        <f>IF(B99="","",IF(ISNA(MATCH(B99,Inventory!$A$2:$A$201,0)),"Check product",E99*D99+F99-I99-G99-H99))</f>
        <v/>
      </c>
      <c r="K99" s="4">
        <f>IF(OR(B99="",NOT(ISNUMBER(J99)),E99*D99+F99=0),"",J99/(E99*D99+F99))</f>
        <v/>
      </c>
    </row>
    <row r="100">
      <c r="A100" s="8" t="n"/>
      <c r="B100" s="6" t="n"/>
      <c r="C100" s="6" t="n"/>
      <c r="D100" s="6" t="n"/>
      <c r="E100" s="7" t="n"/>
      <c r="F100" s="7" t="n"/>
      <c r="G100" s="7" t="n"/>
      <c r="H100" s="3">
        <f>IFERROR(VLOOKUP(B100,Inventory!$A:$B,2,FALSE)*D100,0)</f>
        <v/>
      </c>
      <c r="I100" s="3">
        <f>IF(C100="",0,IFERROR(VLOOKUP(C100,Settings!$A$2:$F$5,2,FALSE)+(E100*D100+F100)*VLOOKUP(C100,Settings!$A$2:$F$5,3,FALSE)/100+(E100*D100+F100)*VLOOKUP(C100,Settings!$A$2:$F$5,4,FALSE)/100+VLOOKUP(C100,Settings!$A$2:$F$5,5,FALSE)+VLOOKUP(C100,Settings!$A$2:$F$5,6,FALSE),0))</f>
        <v/>
      </c>
      <c r="J100" s="3">
        <f>IF(B100="","",IF(ISNA(MATCH(B100,Inventory!$A$2:$A$201,0)),"Check product",E100*D100+F100-I100-G100-H100))</f>
        <v/>
      </c>
      <c r="K100" s="4">
        <f>IF(OR(B100="",NOT(ISNUMBER(J100)),E100*D100+F100=0),"",J100/(E100*D100+F100))</f>
        <v/>
      </c>
    </row>
    <row r="101">
      <c r="A101" s="8" t="n"/>
      <c r="B101" s="6" t="n"/>
      <c r="C101" s="6" t="n"/>
      <c r="D101" s="6" t="n"/>
      <c r="E101" s="7" t="n"/>
      <c r="F101" s="7" t="n"/>
      <c r="G101" s="7" t="n"/>
      <c r="H101" s="3">
        <f>IFERROR(VLOOKUP(B101,Inventory!$A:$B,2,FALSE)*D101,0)</f>
        <v/>
      </c>
      <c r="I101" s="3">
        <f>IF(C101="",0,IFERROR(VLOOKUP(C101,Settings!$A$2:$F$5,2,FALSE)+(E101*D101+F101)*VLOOKUP(C101,Settings!$A$2:$F$5,3,FALSE)/100+(E101*D101+F101)*VLOOKUP(C101,Settings!$A$2:$F$5,4,FALSE)/100+VLOOKUP(C101,Settings!$A$2:$F$5,5,FALSE)+VLOOKUP(C101,Settings!$A$2:$F$5,6,FALSE),0))</f>
        <v/>
      </c>
      <c r="J101" s="3">
        <f>IF(B101="","",IF(ISNA(MATCH(B101,Inventory!$A$2:$A$201,0)),"Check product",E101*D101+F101-I101-G101-H101))</f>
        <v/>
      </c>
      <c r="K101" s="4">
        <f>IF(OR(B101="",NOT(ISNUMBER(J101)),E101*D101+F101=0),"",J101/(E101*D101+F101))</f>
        <v/>
      </c>
    </row>
    <row r="102">
      <c r="A102" s="8" t="n"/>
      <c r="B102" s="6" t="n"/>
      <c r="C102" s="6" t="n"/>
      <c r="D102" s="6" t="n"/>
      <c r="E102" s="7" t="n"/>
      <c r="F102" s="7" t="n"/>
      <c r="G102" s="7" t="n"/>
      <c r="H102" s="3">
        <f>IFERROR(VLOOKUP(B102,Inventory!$A:$B,2,FALSE)*D102,0)</f>
        <v/>
      </c>
      <c r="I102" s="3">
        <f>IF(C102="",0,IFERROR(VLOOKUP(C102,Settings!$A$2:$F$5,2,FALSE)+(E102*D102+F102)*VLOOKUP(C102,Settings!$A$2:$F$5,3,FALSE)/100+(E102*D102+F102)*VLOOKUP(C102,Settings!$A$2:$F$5,4,FALSE)/100+VLOOKUP(C102,Settings!$A$2:$F$5,5,FALSE)+VLOOKUP(C102,Settings!$A$2:$F$5,6,FALSE),0))</f>
        <v/>
      </c>
      <c r="J102" s="3">
        <f>IF(B102="","",IF(ISNA(MATCH(B102,Inventory!$A$2:$A$201,0)),"Check product",E102*D102+F102-I102-G102-H102))</f>
        <v/>
      </c>
      <c r="K102" s="4">
        <f>IF(OR(B102="",NOT(ISNUMBER(J102)),E102*D102+F102=0),"",J102/(E102*D102+F102))</f>
        <v/>
      </c>
    </row>
    <row r="103">
      <c r="A103" s="8" t="n"/>
      <c r="B103" s="6" t="n"/>
      <c r="C103" s="6" t="n"/>
      <c r="D103" s="6" t="n"/>
      <c r="E103" s="7" t="n"/>
      <c r="F103" s="7" t="n"/>
      <c r="G103" s="7" t="n"/>
      <c r="H103" s="3">
        <f>IFERROR(VLOOKUP(B103,Inventory!$A:$B,2,FALSE)*D103,0)</f>
        <v/>
      </c>
      <c r="I103" s="3">
        <f>IF(C103="",0,IFERROR(VLOOKUP(C103,Settings!$A$2:$F$5,2,FALSE)+(E103*D103+F103)*VLOOKUP(C103,Settings!$A$2:$F$5,3,FALSE)/100+(E103*D103+F103)*VLOOKUP(C103,Settings!$A$2:$F$5,4,FALSE)/100+VLOOKUP(C103,Settings!$A$2:$F$5,5,FALSE)+VLOOKUP(C103,Settings!$A$2:$F$5,6,FALSE),0))</f>
        <v/>
      </c>
      <c r="J103" s="3">
        <f>IF(B103="","",IF(ISNA(MATCH(B103,Inventory!$A$2:$A$201,0)),"Check product",E103*D103+F103-I103-G103-H103))</f>
        <v/>
      </c>
      <c r="K103" s="4">
        <f>IF(OR(B103="",NOT(ISNUMBER(J103)),E103*D103+F103=0),"",J103/(E103*D103+F103))</f>
        <v/>
      </c>
    </row>
    <row r="104">
      <c r="A104" s="8" t="n"/>
      <c r="B104" s="6" t="n"/>
      <c r="C104" s="6" t="n"/>
      <c r="D104" s="6" t="n"/>
      <c r="E104" s="7" t="n"/>
      <c r="F104" s="7" t="n"/>
      <c r="G104" s="7" t="n"/>
      <c r="H104" s="3">
        <f>IFERROR(VLOOKUP(B104,Inventory!$A:$B,2,FALSE)*D104,0)</f>
        <v/>
      </c>
      <c r="I104" s="3">
        <f>IF(C104="",0,IFERROR(VLOOKUP(C104,Settings!$A$2:$F$5,2,FALSE)+(E104*D104+F104)*VLOOKUP(C104,Settings!$A$2:$F$5,3,FALSE)/100+(E104*D104+F104)*VLOOKUP(C104,Settings!$A$2:$F$5,4,FALSE)/100+VLOOKUP(C104,Settings!$A$2:$F$5,5,FALSE)+VLOOKUP(C104,Settings!$A$2:$F$5,6,FALSE),0))</f>
        <v/>
      </c>
      <c r="J104" s="3">
        <f>IF(B104="","",IF(ISNA(MATCH(B104,Inventory!$A$2:$A$201,0)),"Check product",E104*D104+F104-I104-G104-H104))</f>
        <v/>
      </c>
      <c r="K104" s="4">
        <f>IF(OR(B104="",NOT(ISNUMBER(J104)),E104*D104+F104=0),"",J104/(E104*D104+F104))</f>
        <v/>
      </c>
    </row>
    <row r="105">
      <c r="A105" s="8" t="n"/>
      <c r="B105" s="6" t="n"/>
      <c r="C105" s="6" t="n"/>
      <c r="D105" s="6" t="n"/>
      <c r="E105" s="7" t="n"/>
      <c r="F105" s="7" t="n"/>
      <c r="G105" s="7" t="n"/>
      <c r="H105" s="3">
        <f>IFERROR(VLOOKUP(B105,Inventory!$A:$B,2,FALSE)*D105,0)</f>
        <v/>
      </c>
      <c r="I105" s="3">
        <f>IF(C105="",0,IFERROR(VLOOKUP(C105,Settings!$A$2:$F$5,2,FALSE)+(E105*D105+F105)*VLOOKUP(C105,Settings!$A$2:$F$5,3,FALSE)/100+(E105*D105+F105)*VLOOKUP(C105,Settings!$A$2:$F$5,4,FALSE)/100+VLOOKUP(C105,Settings!$A$2:$F$5,5,FALSE)+VLOOKUP(C105,Settings!$A$2:$F$5,6,FALSE),0))</f>
        <v/>
      </c>
      <c r="J105" s="3">
        <f>IF(B105="","",IF(ISNA(MATCH(B105,Inventory!$A$2:$A$201,0)),"Check product",E105*D105+F105-I105-G105-H105))</f>
        <v/>
      </c>
      <c r="K105" s="4">
        <f>IF(OR(B105="",NOT(ISNUMBER(J105)),E105*D105+F105=0),"",J105/(E105*D105+F105))</f>
        <v/>
      </c>
    </row>
    <row r="106">
      <c r="A106" s="8" t="n"/>
      <c r="B106" s="6" t="n"/>
      <c r="C106" s="6" t="n"/>
      <c r="D106" s="6" t="n"/>
      <c r="E106" s="7" t="n"/>
      <c r="F106" s="7" t="n"/>
      <c r="G106" s="7" t="n"/>
      <c r="H106" s="3">
        <f>IFERROR(VLOOKUP(B106,Inventory!$A:$B,2,FALSE)*D106,0)</f>
        <v/>
      </c>
      <c r="I106" s="3">
        <f>IF(C106="",0,IFERROR(VLOOKUP(C106,Settings!$A$2:$F$5,2,FALSE)+(E106*D106+F106)*VLOOKUP(C106,Settings!$A$2:$F$5,3,FALSE)/100+(E106*D106+F106)*VLOOKUP(C106,Settings!$A$2:$F$5,4,FALSE)/100+VLOOKUP(C106,Settings!$A$2:$F$5,5,FALSE)+VLOOKUP(C106,Settings!$A$2:$F$5,6,FALSE),0))</f>
        <v/>
      </c>
      <c r="J106" s="3">
        <f>IF(B106="","",IF(ISNA(MATCH(B106,Inventory!$A$2:$A$201,0)),"Check product",E106*D106+F106-I106-G106-H106))</f>
        <v/>
      </c>
      <c r="K106" s="4">
        <f>IF(OR(B106="",NOT(ISNUMBER(J106)),E106*D106+F106=0),"",J106/(E106*D106+F106))</f>
        <v/>
      </c>
    </row>
    <row r="107">
      <c r="A107" s="8" t="n"/>
      <c r="B107" s="6" t="n"/>
      <c r="C107" s="6" t="n"/>
      <c r="D107" s="6" t="n"/>
      <c r="E107" s="7" t="n"/>
      <c r="F107" s="7" t="n"/>
      <c r="G107" s="7" t="n"/>
      <c r="H107" s="3">
        <f>IFERROR(VLOOKUP(B107,Inventory!$A:$B,2,FALSE)*D107,0)</f>
        <v/>
      </c>
      <c r="I107" s="3">
        <f>IF(C107="",0,IFERROR(VLOOKUP(C107,Settings!$A$2:$F$5,2,FALSE)+(E107*D107+F107)*VLOOKUP(C107,Settings!$A$2:$F$5,3,FALSE)/100+(E107*D107+F107)*VLOOKUP(C107,Settings!$A$2:$F$5,4,FALSE)/100+VLOOKUP(C107,Settings!$A$2:$F$5,5,FALSE)+VLOOKUP(C107,Settings!$A$2:$F$5,6,FALSE),0))</f>
        <v/>
      </c>
      <c r="J107" s="3">
        <f>IF(B107="","",IF(ISNA(MATCH(B107,Inventory!$A$2:$A$201,0)),"Check product",E107*D107+F107-I107-G107-H107))</f>
        <v/>
      </c>
      <c r="K107" s="4">
        <f>IF(OR(B107="",NOT(ISNUMBER(J107)),E107*D107+F107=0),"",J107/(E107*D107+F107))</f>
        <v/>
      </c>
    </row>
    <row r="108">
      <c r="A108" s="8" t="n"/>
      <c r="B108" s="6" t="n"/>
      <c r="C108" s="6" t="n"/>
      <c r="D108" s="6" t="n"/>
      <c r="E108" s="7" t="n"/>
      <c r="F108" s="7" t="n"/>
      <c r="G108" s="7" t="n"/>
      <c r="H108" s="3">
        <f>IFERROR(VLOOKUP(B108,Inventory!$A:$B,2,FALSE)*D108,0)</f>
        <v/>
      </c>
      <c r="I108" s="3">
        <f>IF(C108="",0,IFERROR(VLOOKUP(C108,Settings!$A$2:$F$5,2,FALSE)+(E108*D108+F108)*VLOOKUP(C108,Settings!$A$2:$F$5,3,FALSE)/100+(E108*D108+F108)*VLOOKUP(C108,Settings!$A$2:$F$5,4,FALSE)/100+VLOOKUP(C108,Settings!$A$2:$F$5,5,FALSE)+VLOOKUP(C108,Settings!$A$2:$F$5,6,FALSE),0))</f>
        <v/>
      </c>
      <c r="J108" s="3">
        <f>IF(B108="","",IF(ISNA(MATCH(B108,Inventory!$A$2:$A$201,0)),"Check product",E108*D108+F108-I108-G108-H108))</f>
        <v/>
      </c>
      <c r="K108" s="4">
        <f>IF(OR(B108="",NOT(ISNUMBER(J108)),E108*D108+F108=0),"",J108/(E108*D108+F108))</f>
        <v/>
      </c>
    </row>
    <row r="109">
      <c r="A109" s="8" t="n"/>
      <c r="B109" s="6" t="n"/>
      <c r="C109" s="6" t="n"/>
      <c r="D109" s="6" t="n"/>
      <c r="E109" s="7" t="n"/>
      <c r="F109" s="7" t="n"/>
      <c r="G109" s="7" t="n"/>
      <c r="H109" s="3">
        <f>IFERROR(VLOOKUP(B109,Inventory!$A:$B,2,FALSE)*D109,0)</f>
        <v/>
      </c>
      <c r="I109" s="3">
        <f>IF(C109="",0,IFERROR(VLOOKUP(C109,Settings!$A$2:$F$5,2,FALSE)+(E109*D109+F109)*VLOOKUP(C109,Settings!$A$2:$F$5,3,FALSE)/100+(E109*D109+F109)*VLOOKUP(C109,Settings!$A$2:$F$5,4,FALSE)/100+VLOOKUP(C109,Settings!$A$2:$F$5,5,FALSE)+VLOOKUP(C109,Settings!$A$2:$F$5,6,FALSE),0))</f>
        <v/>
      </c>
      <c r="J109" s="3">
        <f>IF(B109="","",IF(ISNA(MATCH(B109,Inventory!$A$2:$A$201,0)),"Check product",E109*D109+F109-I109-G109-H109))</f>
        <v/>
      </c>
      <c r="K109" s="4">
        <f>IF(OR(B109="",NOT(ISNUMBER(J109)),E109*D109+F109=0),"",J109/(E109*D109+F109))</f>
        <v/>
      </c>
    </row>
    <row r="110">
      <c r="A110" s="8" t="n"/>
      <c r="B110" s="6" t="n"/>
      <c r="C110" s="6" t="n"/>
      <c r="D110" s="6" t="n"/>
      <c r="E110" s="7" t="n"/>
      <c r="F110" s="7" t="n"/>
      <c r="G110" s="7" t="n"/>
      <c r="H110" s="3">
        <f>IFERROR(VLOOKUP(B110,Inventory!$A:$B,2,FALSE)*D110,0)</f>
        <v/>
      </c>
      <c r="I110" s="3">
        <f>IF(C110="",0,IFERROR(VLOOKUP(C110,Settings!$A$2:$F$5,2,FALSE)+(E110*D110+F110)*VLOOKUP(C110,Settings!$A$2:$F$5,3,FALSE)/100+(E110*D110+F110)*VLOOKUP(C110,Settings!$A$2:$F$5,4,FALSE)/100+VLOOKUP(C110,Settings!$A$2:$F$5,5,FALSE)+VLOOKUP(C110,Settings!$A$2:$F$5,6,FALSE),0))</f>
        <v/>
      </c>
      <c r="J110" s="3">
        <f>IF(B110="","",IF(ISNA(MATCH(B110,Inventory!$A$2:$A$201,0)),"Check product",E110*D110+F110-I110-G110-H110))</f>
        <v/>
      </c>
      <c r="K110" s="4">
        <f>IF(OR(B110="",NOT(ISNUMBER(J110)),E110*D110+F110=0),"",J110/(E110*D110+F110))</f>
        <v/>
      </c>
    </row>
    <row r="111">
      <c r="A111" s="8" t="n"/>
      <c r="B111" s="6" t="n"/>
      <c r="C111" s="6" t="n"/>
      <c r="D111" s="6" t="n"/>
      <c r="E111" s="7" t="n"/>
      <c r="F111" s="7" t="n"/>
      <c r="G111" s="7" t="n"/>
      <c r="H111" s="3">
        <f>IFERROR(VLOOKUP(B111,Inventory!$A:$B,2,FALSE)*D111,0)</f>
        <v/>
      </c>
      <c r="I111" s="3">
        <f>IF(C111="",0,IFERROR(VLOOKUP(C111,Settings!$A$2:$F$5,2,FALSE)+(E111*D111+F111)*VLOOKUP(C111,Settings!$A$2:$F$5,3,FALSE)/100+(E111*D111+F111)*VLOOKUP(C111,Settings!$A$2:$F$5,4,FALSE)/100+VLOOKUP(C111,Settings!$A$2:$F$5,5,FALSE)+VLOOKUP(C111,Settings!$A$2:$F$5,6,FALSE),0))</f>
        <v/>
      </c>
      <c r="J111" s="3">
        <f>IF(B111="","",IF(ISNA(MATCH(B111,Inventory!$A$2:$A$201,0)),"Check product",E111*D111+F111-I111-G111-H111))</f>
        <v/>
      </c>
      <c r="K111" s="4">
        <f>IF(OR(B111="",NOT(ISNUMBER(J111)),E111*D111+F111=0),"",J111/(E111*D111+F111))</f>
        <v/>
      </c>
    </row>
    <row r="112">
      <c r="A112" s="8" t="n"/>
      <c r="B112" s="6" t="n"/>
      <c r="C112" s="6" t="n"/>
      <c r="D112" s="6" t="n"/>
      <c r="E112" s="7" t="n"/>
      <c r="F112" s="7" t="n"/>
      <c r="G112" s="7" t="n"/>
      <c r="H112" s="3">
        <f>IFERROR(VLOOKUP(B112,Inventory!$A:$B,2,FALSE)*D112,0)</f>
        <v/>
      </c>
      <c r="I112" s="3">
        <f>IF(C112="",0,IFERROR(VLOOKUP(C112,Settings!$A$2:$F$5,2,FALSE)+(E112*D112+F112)*VLOOKUP(C112,Settings!$A$2:$F$5,3,FALSE)/100+(E112*D112+F112)*VLOOKUP(C112,Settings!$A$2:$F$5,4,FALSE)/100+VLOOKUP(C112,Settings!$A$2:$F$5,5,FALSE)+VLOOKUP(C112,Settings!$A$2:$F$5,6,FALSE),0))</f>
        <v/>
      </c>
      <c r="J112" s="3">
        <f>IF(B112="","",IF(ISNA(MATCH(B112,Inventory!$A$2:$A$201,0)),"Check product",E112*D112+F112-I112-G112-H112))</f>
        <v/>
      </c>
      <c r="K112" s="4">
        <f>IF(OR(B112="",NOT(ISNUMBER(J112)),E112*D112+F112=0),"",J112/(E112*D112+F112))</f>
        <v/>
      </c>
    </row>
    <row r="113">
      <c r="A113" s="8" t="n"/>
      <c r="B113" s="6" t="n"/>
      <c r="C113" s="6" t="n"/>
      <c r="D113" s="6" t="n"/>
      <c r="E113" s="7" t="n"/>
      <c r="F113" s="7" t="n"/>
      <c r="G113" s="7" t="n"/>
      <c r="H113" s="3">
        <f>IFERROR(VLOOKUP(B113,Inventory!$A:$B,2,FALSE)*D113,0)</f>
        <v/>
      </c>
      <c r="I113" s="3">
        <f>IF(C113="",0,IFERROR(VLOOKUP(C113,Settings!$A$2:$F$5,2,FALSE)+(E113*D113+F113)*VLOOKUP(C113,Settings!$A$2:$F$5,3,FALSE)/100+(E113*D113+F113)*VLOOKUP(C113,Settings!$A$2:$F$5,4,FALSE)/100+VLOOKUP(C113,Settings!$A$2:$F$5,5,FALSE)+VLOOKUP(C113,Settings!$A$2:$F$5,6,FALSE),0))</f>
        <v/>
      </c>
      <c r="J113" s="3">
        <f>IF(B113="","",IF(ISNA(MATCH(B113,Inventory!$A$2:$A$201,0)),"Check product",E113*D113+F113-I113-G113-H113))</f>
        <v/>
      </c>
      <c r="K113" s="4">
        <f>IF(OR(B113="",NOT(ISNUMBER(J113)),E113*D113+F113=0),"",J113/(E113*D113+F113))</f>
        <v/>
      </c>
    </row>
    <row r="114">
      <c r="A114" s="8" t="n"/>
      <c r="B114" s="6" t="n"/>
      <c r="C114" s="6" t="n"/>
      <c r="D114" s="6" t="n"/>
      <c r="E114" s="7" t="n"/>
      <c r="F114" s="7" t="n"/>
      <c r="G114" s="7" t="n"/>
      <c r="H114" s="3">
        <f>IFERROR(VLOOKUP(B114,Inventory!$A:$B,2,FALSE)*D114,0)</f>
        <v/>
      </c>
      <c r="I114" s="3">
        <f>IF(C114="",0,IFERROR(VLOOKUP(C114,Settings!$A$2:$F$5,2,FALSE)+(E114*D114+F114)*VLOOKUP(C114,Settings!$A$2:$F$5,3,FALSE)/100+(E114*D114+F114)*VLOOKUP(C114,Settings!$A$2:$F$5,4,FALSE)/100+VLOOKUP(C114,Settings!$A$2:$F$5,5,FALSE)+VLOOKUP(C114,Settings!$A$2:$F$5,6,FALSE),0))</f>
        <v/>
      </c>
      <c r="J114" s="3">
        <f>IF(B114="","",IF(ISNA(MATCH(B114,Inventory!$A$2:$A$201,0)),"Check product",E114*D114+F114-I114-G114-H114))</f>
        <v/>
      </c>
      <c r="K114" s="4">
        <f>IF(OR(B114="",NOT(ISNUMBER(J114)),E114*D114+F114=0),"",J114/(E114*D114+F114))</f>
        <v/>
      </c>
    </row>
    <row r="115">
      <c r="A115" s="8" t="n"/>
      <c r="B115" s="6" t="n"/>
      <c r="C115" s="6" t="n"/>
      <c r="D115" s="6" t="n"/>
      <c r="E115" s="7" t="n"/>
      <c r="F115" s="7" t="n"/>
      <c r="G115" s="7" t="n"/>
      <c r="H115" s="3">
        <f>IFERROR(VLOOKUP(B115,Inventory!$A:$B,2,FALSE)*D115,0)</f>
        <v/>
      </c>
      <c r="I115" s="3">
        <f>IF(C115="",0,IFERROR(VLOOKUP(C115,Settings!$A$2:$F$5,2,FALSE)+(E115*D115+F115)*VLOOKUP(C115,Settings!$A$2:$F$5,3,FALSE)/100+(E115*D115+F115)*VLOOKUP(C115,Settings!$A$2:$F$5,4,FALSE)/100+VLOOKUP(C115,Settings!$A$2:$F$5,5,FALSE)+VLOOKUP(C115,Settings!$A$2:$F$5,6,FALSE),0))</f>
        <v/>
      </c>
      <c r="J115" s="3">
        <f>IF(B115="","",IF(ISNA(MATCH(B115,Inventory!$A$2:$A$201,0)),"Check product",E115*D115+F115-I115-G115-H115))</f>
        <v/>
      </c>
      <c r="K115" s="4">
        <f>IF(OR(B115="",NOT(ISNUMBER(J115)),E115*D115+F115=0),"",J115/(E115*D115+F115))</f>
        <v/>
      </c>
    </row>
    <row r="116">
      <c r="A116" s="8" t="n"/>
      <c r="B116" s="6" t="n"/>
      <c r="C116" s="6" t="n"/>
      <c r="D116" s="6" t="n"/>
      <c r="E116" s="7" t="n"/>
      <c r="F116" s="7" t="n"/>
      <c r="G116" s="7" t="n"/>
      <c r="H116" s="3">
        <f>IFERROR(VLOOKUP(B116,Inventory!$A:$B,2,FALSE)*D116,0)</f>
        <v/>
      </c>
      <c r="I116" s="3">
        <f>IF(C116="",0,IFERROR(VLOOKUP(C116,Settings!$A$2:$F$5,2,FALSE)+(E116*D116+F116)*VLOOKUP(C116,Settings!$A$2:$F$5,3,FALSE)/100+(E116*D116+F116)*VLOOKUP(C116,Settings!$A$2:$F$5,4,FALSE)/100+VLOOKUP(C116,Settings!$A$2:$F$5,5,FALSE)+VLOOKUP(C116,Settings!$A$2:$F$5,6,FALSE),0))</f>
        <v/>
      </c>
      <c r="J116" s="3">
        <f>IF(B116="","",IF(ISNA(MATCH(B116,Inventory!$A$2:$A$201,0)),"Check product",E116*D116+F116-I116-G116-H116))</f>
        <v/>
      </c>
      <c r="K116" s="4">
        <f>IF(OR(B116="",NOT(ISNUMBER(J116)),E116*D116+F116=0),"",J116/(E116*D116+F116))</f>
        <v/>
      </c>
    </row>
    <row r="117">
      <c r="A117" s="8" t="n"/>
      <c r="B117" s="6" t="n"/>
      <c r="C117" s="6" t="n"/>
      <c r="D117" s="6" t="n"/>
      <c r="E117" s="7" t="n"/>
      <c r="F117" s="7" t="n"/>
      <c r="G117" s="7" t="n"/>
      <c r="H117" s="3">
        <f>IFERROR(VLOOKUP(B117,Inventory!$A:$B,2,FALSE)*D117,0)</f>
        <v/>
      </c>
      <c r="I117" s="3">
        <f>IF(C117="",0,IFERROR(VLOOKUP(C117,Settings!$A$2:$F$5,2,FALSE)+(E117*D117+F117)*VLOOKUP(C117,Settings!$A$2:$F$5,3,FALSE)/100+(E117*D117+F117)*VLOOKUP(C117,Settings!$A$2:$F$5,4,FALSE)/100+VLOOKUP(C117,Settings!$A$2:$F$5,5,FALSE)+VLOOKUP(C117,Settings!$A$2:$F$5,6,FALSE),0))</f>
        <v/>
      </c>
      <c r="J117" s="3">
        <f>IF(B117="","",IF(ISNA(MATCH(B117,Inventory!$A$2:$A$201,0)),"Check product",E117*D117+F117-I117-G117-H117))</f>
        <v/>
      </c>
      <c r="K117" s="4">
        <f>IF(OR(B117="",NOT(ISNUMBER(J117)),E117*D117+F117=0),"",J117/(E117*D117+F117))</f>
        <v/>
      </c>
    </row>
    <row r="118">
      <c r="A118" s="8" t="n"/>
      <c r="B118" s="6" t="n"/>
      <c r="C118" s="6" t="n"/>
      <c r="D118" s="6" t="n"/>
      <c r="E118" s="7" t="n"/>
      <c r="F118" s="7" t="n"/>
      <c r="G118" s="7" t="n"/>
      <c r="H118" s="3">
        <f>IFERROR(VLOOKUP(B118,Inventory!$A:$B,2,FALSE)*D118,0)</f>
        <v/>
      </c>
      <c r="I118" s="3">
        <f>IF(C118="",0,IFERROR(VLOOKUP(C118,Settings!$A$2:$F$5,2,FALSE)+(E118*D118+F118)*VLOOKUP(C118,Settings!$A$2:$F$5,3,FALSE)/100+(E118*D118+F118)*VLOOKUP(C118,Settings!$A$2:$F$5,4,FALSE)/100+VLOOKUP(C118,Settings!$A$2:$F$5,5,FALSE)+VLOOKUP(C118,Settings!$A$2:$F$5,6,FALSE),0))</f>
        <v/>
      </c>
      <c r="J118" s="3">
        <f>IF(B118="","",IF(ISNA(MATCH(B118,Inventory!$A$2:$A$201,0)),"Check product",E118*D118+F118-I118-G118-H118))</f>
        <v/>
      </c>
      <c r="K118" s="4">
        <f>IF(OR(B118="",NOT(ISNUMBER(J118)),E118*D118+F118=0),"",J118/(E118*D118+F118))</f>
        <v/>
      </c>
    </row>
    <row r="119">
      <c r="A119" s="8" t="n"/>
      <c r="B119" s="6" t="n"/>
      <c r="C119" s="6" t="n"/>
      <c r="D119" s="6" t="n"/>
      <c r="E119" s="7" t="n"/>
      <c r="F119" s="7" t="n"/>
      <c r="G119" s="7" t="n"/>
      <c r="H119" s="3">
        <f>IFERROR(VLOOKUP(B119,Inventory!$A:$B,2,FALSE)*D119,0)</f>
        <v/>
      </c>
      <c r="I119" s="3">
        <f>IF(C119="",0,IFERROR(VLOOKUP(C119,Settings!$A$2:$F$5,2,FALSE)+(E119*D119+F119)*VLOOKUP(C119,Settings!$A$2:$F$5,3,FALSE)/100+(E119*D119+F119)*VLOOKUP(C119,Settings!$A$2:$F$5,4,FALSE)/100+VLOOKUP(C119,Settings!$A$2:$F$5,5,FALSE)+VLOOKUP(C119,Settings!$A$2:$F$5,6,FALSE),0))</f>
        <v/>
      </c>
      <c r="J119" s="3">
        <f>IF(B119="","",IF(ISNA(MATCH(B119,Inventory!$A$2:$A$201,0)),"Check product",E119*D119+F119-I119-G119-H119))</f>
        <v/>
      </c>
      <c r="K119" s="4">
        <f>IF(OR(B119="",NOT(ISNUMBER(J119)),E119*D119+F119=0),"",J119/(E119*D119+F119))</f>
        <v/>
      </c>
    </row>
    <row r="120">
      <c r="A120" s="8" t="n"/>
      <c r="B120" s="6" t="n"/>
      <c r="C120" s="6" t="n"/>
      <c r="D120" s="6" t="n"/>
      <c r="E120" s="7" t="n"/>
      <c r="F120" s="7" t="n"/>
      <c r="G120" s="7" t="n"/>
      <c r="H120" s="3">
        <f>IFERROR(VLOOKUP(B120,Inventory!$A:$B,2,FALSE)*D120,0)</f>
        <v/>
      </c>
      <c r="I120" s="3">
        <f>IF(C120="",0,IFERROR(VLOOKUP(C120,Settings!$A$2:$F$5,2,FALSE)+(E120*D120+F120)*VLOOKUP(C120,Settings!$A$2:$F$5,3,FALSE)/100+(E120*D120+F120)*VLOOKUP(C120,Settings!$A$2:$F$5,4,FALSE)/100+VLOOKUP(C120,Settings!$A$2:$F$5,5,FALSE)+VLOOKUP(C120,Settings!$A$2:$F$5,6,FALSE),0))</f>
        <v/>
      </c>
      <c r="J120" s="3">
        <f>IF(B120="","",IF(ISNA(MATCH(B120,Inventory!$A$2:$A$201,0)),"Check product",E120*D120+F120-I120-G120-H120))</f>
        <v/>
      </c>
      <c r="K120" s="4">
        <f>IF(OR(B120="",NOT(ISNUMBER(J120)),E120*D120+F120=0),"",J120/(E120*D120+F120))</f>
        <v/>
      </c>
    </row>
    <row r="121">
      <c r="A121" s="8" t="n"/>
      <c r="B121" s="6" t="n"/>
      <c r="C121" s="6" t="n"/>
      <c r="D121" s="6" t="n"/>
      <c r="E121" s="7" t="n"/>
      <c r="F121" s="7" t="n"/>
      <c r="G121" s="7" t="n"/>
      <c r="H121" s="3">
        <f>IFERROR(VLOOKUP(B121,Inventory!$A:$B,2,FALSE)*D121,0)</f>
        <v/>
      </c>
      <c r="I121" s="3">
        <f>IF(C121="",0,IFERROR(VLOOKUP(C121,Settings!$A$2:$F$5,2,FALSE)+(E121*D121+F121)*VLOOKUP(C121,Settings!$A$2:$F$5,3,FALSE)/100+(E121*D121+F121)*VLOOKUP(C121,Settings!$A$2:$F$5,4,FALSE)/100+VLOOKUP(C121,Settings!$A$2:$F$5,5,FALSE)+VLOOKUP(C121,Settings!$A$2:$F$5,6,FALSE),0))</f>
        <v/>
      </c>
      <c r="J121" s="3">
        <f>IF(B121="","",IF(ISNA(MATCH(B121,Inventory!$A$2:$A$201,0)),"Check product",E121*D121+F121-I121-G121-H121))</f>
        <v/>
      </c>
      <c r="K121" s="4">
        <f>IF(OR(B121="",NOT(ISNUMBER(J121)),E121*D121+F121=0),"",J121/(E121*D121+F121))</f>
        <v/>
      </c>
    </row>
    <row r="122">
      <c r="A122" s="8" t="n"/>
      <c r="B122" s="6" t="n"/>
      <c r="C122" s="6" t="n"/>
      <c r="D122" s="6" t="n"/>
      <c r="E122" s="7" t="n"/>
      <c r="F122" s="7" t="n"/>
      <c r="G122" s="7" t="n"/>
      <c r="H122" s="3">
        <f>IFERROR(VLOOKUP(B122,Inventory!$A:$B,2,FALSE)*D122,0)</f>
        <v/>
      </c>
      <c r="I122" s="3">
        <f>IF(C122="",0,IFERROR(VLOOKUP(C122,Settings!$A$2:$F$5,2,FALSE)+(E122*D122+F122)*VLOOKUP(C122,Settings!$A$2:$F$5,3,FALSE)/100+(E122*D122+F122)*VLOOKUP(C122,Settings!$A$2:$F$5,4,FALSE)/100+VLOOKUP(C122,Settings!$A$2:$F$5,5,FALSE)+VLOOKUP(C122,Settings!$A$2:$F$5,6,FALSE),0))</f>
        <v/>
      </c>
      <c r="J122" s="3">
        <f>IF(B122="","",IF(ISNA(MATCH(B122,Inventory!$A$2:$A$201,0)),"Check product",E122*D122+F122-I122-G122-H122))</f>
        <v/>
      </c>
      <c r="K122" s="4">
        <f>IF(OR(B122="",NOT(ISNUMBER(J122)),E122*D122+F122=0),"",J122/(E122*D122+F122))</f>
        <v/>
      </c>
    </row>
    <row r="123">
      <c r="A123" s="8" t="n"/>
      <c r="B123" s="6" t="n"/>
      <c r="C123" s="6" t="n"/>
      <c r="D123" s="6" t="n"/>
      <c r="E123" s="7" t="n"/>
      <c r="F123" s="7" t="n"/>
      <c r="G123" s="7" t="n"/>
      <c r="H123" s="3">
        <f>IFERROR(VLOOKUP(B123,Inventory!$A:$B,2,FALSE)*D123,0)</f>
        <v/>
      </c>
      <c r="I123" s="3">
        <f>IF(C123="",0,IFERROR(VLOOKUP(C123,Settings!$A$2:$F$5,2,FALSE)+(E123*D123+F123)*VLOOKUP(C123,Settings!$A$2:$F$5,3,FALSE)/100+(E123*D123+F123)*VLOOKUP(C123,Settings!$A$2:$F$5,4,FALSE)/100+VLOOKUP(C123,Settings!$A$2:$F$5,5,FALSE)+VLOOKUP(C123,Settings!$A$2:$F$5,6,FALSE),0))</f>
        <v/>
      </c>
      <c r="J123" s="3">
        <f>IF(B123="","",IF(ISNA(MATCH(B123,Inventory!$A$2:$A$201,0)),"Check product",E123*D123+F123-I123-G123-H123))</f>
        <v/>
      </c>
      <c r="K123" s="4">
        <f>IF(OR(B123="",NOT(ISNUMBER(J123)),E123*D123+F123=0),"",J123/(E123*D123+F123))</f>
        <v/>
      </c>
    </row>
    <row r="124">
      <c r="A124" s="8" t="n"/>
      <c r="B124" s="6" t="n"/>
      <c r="C124" s="6" t="n"/>
      <c r="D124" s="6" t="n"/>
      <c r="E124" s="7" t="n"/>
      <c r="F124" s="7" t="n"/>
      <c r="G124" s="7" t="n"/>
      <c r="H124" s="3">
        <f>IFERROR(VLOOKUP(B124,Inventory!$A:$B,2,FALSE)*D124,0)</f>
        <v/>
      </c>
      <c r="I124" s="3">
        <f>IF(C124="",0,IFERROR(VLOOKUP(C124,Settings!$A$2:$F$5,2,FALSE)+(E124*D124+F124)*VLOOKUP(C124,Settings!$A$2:$F$5,3,FALSE)/100+(E124*D124+F124)*VLOOKUP(C124,Settings!$A$2:$F$5,4,FALSE)/100+VLOOKUP(C124,Settings!$A$2:$F$5,5,FALSE)+VLOOKUP(C124,Settings!$A$2:$F$5,6,FALSE),0))</f>
        <v/>
      </c>
      <c r="J124" s="3">
        <f>IF(B124="","",IF(ISNA(MATCH(B124,Inventory!$A$2:$A$201,0)),"Check product",E124*D124+F124-I124-G124-H124))</f>
        <v/>
      </c>
      <c r="K124" s="4">
        <f>IF(OR(B124="",NOT(ISNUMBER(J124)),E124*D124+F124=0),"",J124/(E124*D124+F124))</f>
        <v/>
      </c>
    </row>
    <row r="125">
      <c r="A125" s="8" t="n"/>
      <c r="B125" s="6" t="n"/>
      <c r="C125" s="6" t="n"/>
      <c r="D125" s="6" t="n"/>
      <c r="E125" s="7" t="n"/>
      <c r="F125" s="7" t="n"/>
      <c r="G125" s="7" t="n"/>
      <c r="H125" s="3">
        <f>IFERROR(VLOOKUP(B125,Inventory!$A:$B,2,FALSE)*D125,0)</f>
        <v/>
      </c>
      <c r="I125" s="3">
        <f>IF(C125="",0,IFERROR(VLOOKUP(C125,Settings!$A$2:$F$5,2,FALSE)+(E125*D125+F125)*VLOOKUP(C125,Settings!$A$2:$F$5,3,FALSE)/100+(E125*D125+F125)*VLOOKUP(C125,Settings!$A$2:$F$5,4,FALSE)/100+VLOOKUP(C125,Settings!$A$2:$F$5,5,FALSE)+VLOOKUP(C125,Settings!$A$2:$F$5,6,FALSE),0))</f>
        <v/>
      </c>
      <c r="J125" s="3">
        <f>IF(B125="","",IF(ISNA(MATCH(B125,Inventory!$A$2:$A$201,0)),"Check product",E125*D125+F125-I125-G125-H125))</f>
        <v/>
      </c>
      <c r="K125" s="4">
        <f>IF(OR(B125="",NOT(ISNUMBER(J125)),E125*D125+F125=0),"",J125/(E125*D125+F125))</f>
        <v/>
      </c>
    </row>
    <row r="126">
      <c r="A126" s="8" t="n"/>
      <c r="B126" s="6" t="n"/>
      <c r="C126" s="6" t="n"/>
      <c r="D126" s="6" t="n"/>
      <c r="E126" s="7" t="n"/>
      <c r="F126" s="7" t="n"/>
      <c r="G126" s="7" t="n"/>
      <c r="H126" s="3">
        <f>IFERROR(VLOOKUP(B126,Inventory!$A:$B,2,FALSE)*D126,0)</f>
        <v/>
      </c>
      <c r="I126" s="3">
        <f>IF(C126="",0,IFERROR(VLOOKUP(C126,Settings!$A$2:$F$5,2,FALSE)+(E126*D126+F126)*VLOOKUP(C126,Settings!$A$2:$F$5,3,FALSE)/100+(E126*D126+F126)*VLOOKUP(C126,Settings!$A$2:$F$5,4,FALSE)/100+VLOOKUP(C126,Settings!$A$2:$F$5,5,FALSE)+VLOOKUP(C126,Settings!$A$2:$F$5,6,FALSE),0))</f>
        <v/>
      </c>
      <c r="J126" s="3">
        <f>IF(B126="","",IF(ISNA(MATCH(B126,Inventory!$A$2:$A$201,0)),"Check product",E126*D126+F126-I126-G126-H126))</f>
        <v/>
      </c>
      <c r="K126" s="4">
        <f>IF(OR(B126="",NOT(ISNUMBER(J126)),E126*D126+F126=0),"",J126/(E126*D126+F126))</f>
        <v/>
      </c>
    </row>
    <row r="127">
      <c r="A127" s="8" t="n"/>
      <c r="B127" s="6" t="n"/>
      <c r="C127" s="6" t="n"/>
      <c r="D127" s="6" t="n"/>
      <c r="E127" s="7" t="n"/>
      <c r="F127" s="7" t="n"/>
      <c r="G127" s="7" t="n"/>
      <c r="H127" s="3">
        <f>IFERROR(VLOOKUP(B127,Inventory!$A:$B,2,FALSE)*D127,0)</f>
        <v/>
      </c>
      <c r="I127" s="3">
        <f>IF(C127="",0,IFERROR(VLOOKUP(C127,Settings!$A$2:$F$5,2,FALSE)+(E127*D127+F127)*VLOOKUP(C127,Settings!$A$2:$F$5,3,FALSE)/100+(E127*D127+F127)*VLOOKUP(C127,Settings!$A$2:$F$5,4,FALSE)/100+VLOOKUP(C127,Settings!$A$2:$F$5,5,FALSE)+VLOOKUP(C127,Settings!$A$2:$F$5,6,FALSE),0))</f>
        <v/>
      </c>
      <c r="J127" s="3">
        <f>IF(B127="","",IF(ISNA(MATCH(B127,Inventory!$A$2:$A$201,0)),"Check product",E127*D127+F127-I127-G127-H127))</f>
        <v/>
      </c>
      <c r="K127" s="4">
        <f>IF(OR(B127="",NOT(ISNUMBER(J127)),E127*D127+F127=0),"",J127/(E127*D127+F127))</f>
        <v/>
      </c>
    </row>
    <row r="128">
      <c r="A128" s="8" t="n"/>
      <c r="B128" s="6" t="n"/>
      <c r="C128" s="6" t="n"/>
      <c r="D128" s="6" t="n"/>
      <c r="E128" s="7" t="n"/>
      <c r="F128" s="7" t="n"/>
      <c r="G128" s="7" t="n"/>
      <c r="H128" s="3">
        <f>IFERROR(VLOOKUP(B128,Inventory!$A:$B,2,FALSE)*D128,0)</f>
        <v/>
      </c>
      <c r="I128" s="3">
        <f>IF(C128="",0,IFERROR(VLOOKUP(C128,Settings!$A$2:$F$5,2,FALSE)+(E128*D128+F128)*VLOOKUP(C128,Settings!$A$2:$F$5,3,FALSE)/100+(E128*D128+F128)*VLOOKUP(C128,Settings!$A$2:$F$5,4,FALSE)/100+VLOOKUP(C128,Settings!$A$2:$F$5,5,FALSE)+VLOOKUP(C128,Settings!$A$2:$F$5,6,FALSE),0))</f>
        <v/>
      </c>
      <c r="J128" s="3">
        <f>IF(B128="","",IF(ISNA(MATCH(B128,Inventory!$A$2:$A$201,0)),"Check product",E128*D128+F128-I128-G128-H128))</f>
        <v/>
      </c>
      <c r="K128" s="4">
        <f>IF(OR(B128="",NOT(ISNUMBER(J128)),E128*D128+F128=0),"",J128/(E128*D128+F128))</f>
        <v/>
      </c>
    </row>
    <row r="129">
      <c r="A129" s="8" t="n"/>
      <c r="B129" s="6" t="n"/>
      <c r="C129" s="6" t="n"/>
      <c r="D129" s="6" t="n"/>
      <c r="E129" s="7" t="n"/>
      <c r="F129" s="7" t="n"/>
      <c r="G129" s="7" t="n"/>
      <c r="H129" s="3">
        <f>IFERROR(VLOOKUP(B129,Inventory!$A:$B,2,FALSE)*D129,0)</f>
        <v/>
      </c>
      <c r="I129" s="3">
        <f>IF(C129="",0,IFERROR(VLOOKUP(C129,Settings!$A$2:$F$5,2,FALSE)+(E129*D129+F129)*VLOOKUP(C129,Settings!$A$2:$F$5,3,FALSE)/100+(E129*D129+F129)*VLOOKUP(C129,Settings!$A$2:$F$5,4,FALSE)/100+VLOOKUP(C129,Settings!$A$2:$F$5,5,FALSE)+VLOOKUP(C129,Settings!$A$2:$F$5,6,FALSE),0))</f>
        <v/>
      </c>
      <c r="J129" s="3">
        <f>IF(B129="","",IF(ISNA(MATCH(B129,Inventory!$A$2:$A$201,0)),"Check product",E129*D129+F129-I129-G129-H129))</f>
        <v/>
      </c>
      <c r="K129" s="4">
        <f>IF(OR(B129="",NOT(ISNUMBER(J129)),E129*D129+F129=0),"",J129/(E129*D129+F129))</f>
        <v/>
      </c>
    </row>
    <row r="130">
      <c r="A130" s="8" t="n"/>
      <c r="B130" s="6" t="n"/>
      <c r="C130" s="6" t="n"/>
      <c r="D130" s="6" t="n"/>
      <c r="E130" s="7" t="n"/>
      <c r="F130" s="7" t="n"/>
      <c r="G130" s="7" t="n"/>
      <c r="H130" s="3">
        <f>IFERROR(VLOOKUP(B130,Inventory!$A:$B,2,FALSE)*D130,0)</f>
        <v/>
      </c>
      <c r="I130" s="3">
        <f>IF(C130="",0,IFERROR(VLOOKUP(C130,Settings!$A$2:$F$5,2,FALSE)+(E130*D130+F130)*VLOOKUP(C130,Settings!$A$2:$F$5,3,FALSE)/100+(E130*D130+F130)*VLOOKUP(C130,Settings!$A$2:$F$5,4,FALSE)/100+VLOOKUP(C130,Settings!$A$2:$F$5,5,FALSE)+VLOOKUP(C130,Settings!$A$2:$F$5,6,FALSE),0))</f>
        <v/>
      </c>
      <c r="J130" s="3">
        <f>IF(B130="","",IF(ISNA(MATCH(B130,Inventory!$A$2:$A$201,0)),"Check product",E130*D130+F130-I130-G130-H130))</f>
        <v/>
      </c>
      <c r="K130" s="4">
        <f>IF(OR(B130="",NOT(ISNUMBER(J130)),E130*D130+F130=0),"",J130/(E130*D130+F130))</f>
        <v/>
      </c>
    </row>
    <row r="131">
      <c r="A131" s="8" t="n"/>
      <c r="B131" s="6" t="n"/>
      <c r="C131" s="6" t="n"/>
      <c r="D131" s="6" t="n"/>
      <c r="E131" s="7" t="n"/>
      <c r="F131" s="7" t="n"/>
      <c r="G131" s="7" t="n"/>
      <c r="H131" s="3">
        <f>IFERROR(VLOOKUP(B131,Inventory!$A:$B,2,FALSE)*D131,0)</f>
        <v/>
      </c>
      <c r="I131" s="3">
        <f>IF(C131="",0,IFERROR(VLOOKUP(C131,Settings!$A$2:$F$5,2,FALSE)+(E131*D131+F131)*VLOOKUP(C131,Settings!$A$2:$F$5,3,FALSE)/100+(E131*D131+F131)*VLOOKUP(C131,Settings!$A$2:$F$5,4,FALSE)/100+VLOOKUP(C131,Settings!$A$2:$F$5,5,FALSE)+VLOOKUP(C131,Settings!$A$2:$F$5,6,FALSE),0))</f>
        <v/>
      </c>
      <c r="J131" s="3">
        <f>IF(B131="","",IF(ISNA(MATCH(B131,Inventory!$A$2:$A$201,0)),"Check product",E131*D131+F131-I131-G131-H131))</f>
        <v/>
      </c>
      <c r="K131" s="4">
        <f>IF(OR(B131="",NOT(ISNUMBER(J131)),E131*D131+F131=0),"",J131/(E131*D131+F131))</f>
        <v/>
      </c>
    </row>
    <row r="132">
      <c r="A132" s="8" t="n"/>
      <c r="B132" s="6" t="n"/>
      <c r="C132" s="6" t="n"/>
      <c r="D132" s="6" t="n"/>
      <c r="E132" s="7" t="n"/>
      <c r="F132" s="7" t="n"/>
      <c r="G132" s="7" t="n"/>
      <c r="H132" s="3">
        <f>IFERROR(VLOOKUP(B132,Inventory!$A:$B,2,FALSE)*D132,0)</f>
        <v/>
      </c>
      <c r="I132" s="3">
        <f>IF(C132="",0,IFERROR(VLOOKUP(C132,Settings!$A$2:$F$5,2,FALSE)+(E132*D132+F132)*VLOOKUP(C132,Settings!$A$2:$F$5,3,FALSE)/100+(E132*D132+F132)*VLOOKUP(C132,Settings!$A$2:$F$5,4,FALSE)/100+VLOOKUP(C132,Settings!$A$2:$F$5,5,FALSE)+VLOOKUP(C132,Settings!$A$2:$F$5,6,FALSE),0))</f>
        <v/>
      </c>
      <c r="J132" s="3">
        <f>IF(B132="","",IF(ISNA(MATCH(B132,Inventory!$A$2:$A$201,0)),"Check product",E132*D132+F132-I132-G132-H132))</f>
        <v/>
      </c>
      <c r="K132" s="4">
        <f>IF(OR(B132="",NOT(ISNUMBER(J132)),E132*D132+F132=0),"",J132/(E132*D132+F132))</f>
        <v/>
      </c>
    </row>
    <row r="133">
      <c r="A133" s="8" t="n"/>
      <c r="B133" s="6" t="n"/>
      <c r="C133" s="6" t="n"/>
      <c r="D133" s="6" t="n"/>
      <c r="E133" s="7" t="n"/>
      <c r="F133" s="7" t="n"/>
      <c r="G133" s="7" t="n"/>
      <c r="H133" s="3">
        <f>IFERROR(VLOOKUP(B133,Inventory!$A:$B,2,FALSE)*D133,0)</f>
        <v/>
      </c>
      <c r="I133" s="3">
        <f>IF(C133="",0,IFERROR(VLOOKUP(C133,Settings!$A$2:$F$5,2,FALSE)+(E133*D133+F133)*VLOOKUP(C133,Settings!$A$2:$F$5,3,FALSE)/100+(E133*D133+F133)*VLOOKUP(C133,Settings!$A$2:$F$5,4,FALSE)/100+VLOOKUP(C133,Settings!$A$2:$F$5,5,FALSE)+VLOOKUP(C133,Settings!$A$2:$F$5,6,FALSE),0))</f>
        <v/>
      </c>
      <c r="J133" s="3">
        <f>IF(B133="","",IF(ISNA(MATCH(B133,Inventory!$A$2:$A$201,0)),"Check product",E133*D133+F133-I133-G133-H133))</f>
        <v/>
      </c>
      <c r="K133" s="4">
        <f>IF(OR(B133="",NOT(ISNUMBER(J133)),E133*D133+F133=0),"",J133/(E133*D133+F133))</f>
        <v/>
      </c>
    </row>
    <row r="134">
      <c r="A134" s="8" t="n"/>
      <c r="B134" s="6" t="n"/>
      <c r="C134" s="6" t="n"/>
      <c r="D134" s="6" t="n"/>
      <c r="E134" s="7" t="n"/>
      <c r="F134" s="7" t="n"/>
      <c r="G134" s="7" t="n"/>
      <c r="H134" s="3">
        <f>IFERROR(VLOOKUP(B134,Inventory!$A:$B,2,FALSE)*D134,0)</f>
        <v/>
      </c>
      <c r="I134" s="3">
        <f>IF(C134="",0,IFERROR(VLOOKUP(C134,Settings!$A$2:$F$5,2,FALSE)+(E134*D134+F134)*VLOOKUP(C134,Settings!$A$2:$F$5,3,FALSE)/100+(E134*D134+F134)*VLOOKUP(C134,Settings!$A$2:$F$5,4,FALSE)/100+VLOOKUP(C134,Settings!$A$2:$F$5,5,FALSE)+VLOOKUP(C134,Settings!$A$2:$F$5,6,FALSE),0))</f>
        <v/>
      </c>
      <c r="J134" s="3">
        <f>IF(B134="","",IF(ISNA(MATCH(B134,Inventory!$A$2:$A$201,0)),"Check product",E134*D134+F134-I134-G134-H134))</f>
        <v/>
      </c>
      <c r="K134" s="4">
        <f>IF(OR(B134="",NOT(ISNUMBER(J134)),E134*D134+F134=0),"",J134/(E134*D134+F134))</f>
        <v/>
      </c>
    </row>
    <row r="135">
      <c r="A135" s="8" t="n"/>
      <c r="B135" s="6" t="n"/>
      <c r="C135" s="6" t="n"/>
      <c r="D135" s="6" t="n"/>
      <c r="E135" s="7" t="n"/>
      <c r="F135" s="7" t="n"/>
      <c r="G135" s="7" t="n"/>
      <c r="H135" s="3">
        <f>IFERROR(VLOOKUP(B135,Inventory!$A:$B,2,FALSE)*D135,0)</f>
        <v/>
      </c>
      <c r="I135" s="3">
        <f>IF(C135="",0,IFERROR(VLOOKUP(C135,Settings!$A$2:$F$5,2,FALSE)+(E135*D135+F135)*VLOOKUP(C135,Settings!$A$2:$F$5,3,FALSE)/100+(E135*D135+F135)*VLOOKUP(C135,Settings!$A$2:$F$5,4,FALSE)/100+VLOOKUP(C135,Settings!$A$2:$F$5,5,FALSE)+VLOOKUP(C135,Settings!$A$2:$F$5,6,FALSE),0))</f>
        <v/>
      </c>
      <c r="J135" s="3">
        <f>IF(B135="","",IF(ISNA(MATCH(B135,Inventory!$A$2:$A$201,0)),"Check product",E135*D135+F135-I135-G135-H135))</f>
        <v/>
      </c>
      <c r="K135" s="4">
        <f>IF(OR(B135="",NOT(ISNUMBER(J135)),E135*D135+F135=0),"",J135/(E135*D135+F135))</f>
        <v/>
      </c>
    </row>
    <row r="136">
      <c r="A136" s="8" t="n"/>
      <c r="B136" s="6" t="n"/>
      <c r="C136" s="6" t="n"/>
      <c r="D136" s="6" t="n"/>
      <c r="E136" s="7" t="n"/>
      <c r="F136" s="7" t="n"/>
      <c r="G136" s="7" t="n"/>
      <c r="H136" s="3">
        <f>IFERROR(VLOOKUP(B136,Inventory!$A:$B,2,FALSE)*D136,0)</f>
        <v/>
      </c>
      <c r="I136" s="3">
        <f>IF(C136="",0,IFERROR(VLOOKUP(C136,Settings!$A$2:$F$5,2,FALSE)+(E136*D136+F136)*VLOOKUP(C136,Settings!$A$2:$F$5,3,FALSE)/100+(E136*D136+F136)*VLOOKUP(C136,Settings!$A$2:$F$5,4,FALSE)/100+VLOOKUP(C136,Settings!$A$2:$F$5,5,FALSE)+VLOOKUP(C136,Settings!$A$2:$F$5,6,FALSE),0))</f>
        <v/>
      </c>
      <c r="J136" s="3">
        <f>IF(B136="","",IF(ISNA(MATCH(B136,Inventory!$A$2:$A$201,0)),"Check product",E136*D136+F136-I136-G136-H136))</f>
        <v/>
      </c>
      <c r="K136" s="4">
        <f>IF(OR(B136="",NOT(ISNUMBER(J136)),E136*D136+F136=0),"",J136/(E136*D136+F136))</f>
        <v/>
      </c>
    </row>
    <row r="137">
      <c r="A137" s="8" t="n"/>
      <c r="B137" s="6" t="n"/>
      <c r="C137" s="6" t="n"/>
      <c r="D137" s="6" t="n"/>
      <c r="E137" s="7" t="n"/>
      <c r="F137" s="7" t="n"/>
      <c r="G137" s="7" t="n"/>
      <c r="H137" s="3">
        <f>IFERROR(VLOOKUP(B137,Inventory!$A:$B,2,FALSE)*D137,0)</f>
        <v/>
      </c>
      <c r="I137" s="3">
        <f>IF(C137="",0,IFERROR(VLOOKUP(C137,Settings!$A$2:$F$5,2,FALSE)+(E137*D137+F137)*VLOOKUP(C137,Settings!$A$2:$F$5,3,FALSE)/100+(E137*D137+F137)*VLOOKUP(C137,Settings!$A$2:$F$5,4,FALSE)/100+VLOOKUP(C137,Settings!$A$2:$F$5,5,FALSE)+VLOOKUP(C137,Settings!$A$2:$F$5,6,FALSE),0))</f>
        <v/>
      </c>
      <c r="J137" s="3">
        <f>IF(B137="","",IF(ISNA(MATCH(B137,Inventory!$A$2:$A$201,0)),"Check product",E137*D137+F137-I137-G137-H137))</f>
        <v/>
      </c>
      <c r="K137" s="4">
        <f>IF(OR(B137="",NOT(ISNUMBER(J137)),E137*D137+F137=0),"",J137/(E137*D137+F137))</f>
        <v/>
      </c>
    </row>
    <row r="138">
      <c r="A138" s="8" t="n"/>
      <c r="B138" s="6" t="n"/>
      <c r="C138" s="6" t="n"/>
      <c r="D138" s="6" t="n"/>
      <c r="E138" s="7" t="n"/>
      <c r="F138" s="7" t="n"/>
      <c r="G138" s="7" t="n"/>
      <c r="H138" s="3">
        <f>IFERROR(VLOOKUP(B138,Inventory!$A:$B,2,FALSE)*D138,0)</f>
        <v/>
      </c>
      <c r="I138" s="3">
        <f>IF(C138="",0,IFERROR(VLOOKUP(C138,Settings!$A$2:$F$5,2,FALSE)+(E138*D138+F138)*VLOOKUP(C138,Settings!$A$2:$F$5,3,FALSE)/100+(E138*D138+F138)*VLOOKUP(C138,Settings!$A$2:$F$5,4,FALSE)/100+VLOOKUP(C138,Settings!$A$2:$F$5,5,FALSE)+VLOOKUP(C138,Settings!$A$2:$F$5,6,FALSE),0))</f>
        <v/>
      </c>
      <c r="J138" s="3">
        <f>IF(B138="","",IF(ISNA(MATCH(B138,Inventory!$A$2:$A$201,0)),"Check product",E138*D138+F138-I138-G138-H138))</f>
        <v/>
      </c>
      <c r="K138" s="4">
        <f>IF(OR(B138="",NOT(ISNUMBER(J138)),E138*D138+F138=0),"",J138/(E138*D138+F138))</f>
        <v/>
      </c>
    </row>
    <row r="139">
      <c r="A139" s="8" t="n"/>
      <c r="B139" s="6" t="n"/>
      <c r="C139" s="6" t="n"/>
      <c r="D139" s="6" t="n"/>
      <c r="E139" s="7" t="n"/>
      <c r="F139" s="7" t="n"/>
      <c r="G139" s="7" t="n"/>
      <c r="H139" s="3">
        <f>IFERROR(VLOOKUP(B139,Inventory!$A:$B,2,FALSE)*D139,0)</f>
        <v/>
      </c>
      <c r="I139" s="3">
        <f>IF(C139="",0,IFERROR(VLOOKUP(C139,Settings!$A$2:$F$5,2,FALSE)+(E139*D139+F139)*VLOOKUP(C139,Settings!$A$2:$F$5,3,FALSE)/100+(E139*D139+F139)*VLOOKUP(C139,Settings!$A$2:$F$5,4,FALSE)/100+VLOOKUP(C139,Settings!$A$2:$F$5,5,FALSE)+VLOOKUP(C139,Settings!$A$2:$F$5,6,FALSE),0))</f>
        <v/>
      </c>
      <c r="J139" s="3">
        <f>IF(B139="","",IF(ISNA(MATCH(B139,Inventory!$A$2:$A$201,0)),"Check product",E139*D139+F139-I139-G139-H139))</f>
        <v/>
      </c>
      <c r="K139" s="4">
        <f>IF(OR(B139="",NOT(ISNUMBER(J139)),E139*D139+F139=0),"",J139/(E139*D139+F139))</f>
        <v/>
      </c>
    </row>
    <row r="140">
      <c r="A140" s="8" t="n"/>
      <c r="B140" s="6" t="n"/>
      <c r="C140" s="6" t="n"/>
      <c r="D140" s="6" t="n"/>
      <c r="E140" s="7" t="n"/>
      <c r="F140" s="7" t="n"/>
      <c r="G140" s="7" t="n"/>
      <c r="H140" s="3">
        <f>IFERROR(VLOOKUP(B140,Inventory!$A:$B,2,FALSE)*D140,0)</f>
        <v/>
      </c>
      <c r="I140" s="3">
        <f>IF(C140="",0,IFERROR(VLOOKUP(C140,Settings!$A$2:$F$5,2,FALSE)+(E140*D140+F140)*VLOOKUP(C140,Settings!$A$2:$F$5,3,FALSE)/100+(E140*D140+F140)*VLOOKUP(C140,Settings!$A$2:$F$5,4,FALSE)/100+VLOOKUP(C140,Settings!$A$2:$F$5,5,FALSE)+VLOOKUP(C140,Settings!$A$2:$F$5,6,FALSE),0))</f>
        <v/>
      </c>
      <c r="J140" s="3">
        <f>IF(B140="","",IF(ISNA(MATCH(B140,Inventory!$A$2:$A$201,0)),"Check product",E140*D140+F140-I140-G140-H140))</f>
        <v/>
      </c>
      <c r="K140" s="4">
        <f>IF(OR(B140="",NOT(ISNUMBER(J140)),E140*D140+F140=0),"",J140/(E140*D140+F140))</f>
        <v/>
      </c>
    </row>
    <row r="141">
      <c r="A141" s="8" t="n"/>
      <c r="B141" s="6" t="n"/>
      <c r="C141" s="6" t="n"/>
      <c r="D141" s="6" t="n"/>
      <c r="E141" s="7" t="n"/>
      <c r="F141" s="7" t="n"/>
      <c r="G141" s="7" t="n"/>
      <c r="H141" s="3">
        <f>IFERROR(VLOOKUP(B141,Inventory!$A:$B,2,FALSE)*D141,0)</f>
        <v/>
      </c>
      <c r="I141" s="3">
        <f>IF(C141="",0,IFERROR(VLOOKUP(C141,Settings!$A$2:$F$5,2,FALSE)+(E141*D141+F141)*VLOOKUP(C141,Settings!$A$2:$F$5,3,FALSE)/100+(E141*D141+F141)*VLOOKUP(C141,Settings!$A$2:$F$5,4,FALSE)/100+VLOOKUP(C141,Settings!$A$2:$F$5,5,FALSE)+VLOOKUP(C141,Settings!$A$2:$F$5,6,FALSE),0))</f>
        <v/>
      </c>
      <c r="J141" s="3">
        <f>IF(B141="","",IF(ISNA(MATCH(B141,Inventory!$A$2:$A$201,0)),"Check product",E141*D141+F141-I141-G141-H141))</f>
        <v/>
      </c>
      <c r="K141" s="4">
        <f>IF(OR(B141="",NOT(ISNUMBER(J141)),E141*D141+F141=0),"",J141/(E141*D141+F141))</f>
        <v/>
      </c>
    </row>
    <row r="142">
      <c r="A142" s="8" t="n"/>
      <c r="B142" s="6" t="n"/>
      <c r="C142" s="6" t="n"/>
      <c r="D142" s="6" t="n"/>
      <c r="E142" s="7" t="n"/>
      <c r="F142" s="7" t="n"/>
      <c r="G142" s="7" t="n"/>
      <c r="H142" s="3">
        <f>IFERROR(VLOOKUP(B142,Inventory!$A:$B,2,FALSE)*D142,0)</f>
        <v/>
      </c>
      <c r="I142" s="3">
        <f>IF(C142="",0,IFERROR(VLOOKUP(C142,Settings!$A$2:$F$5,2,FALSE)+(E142*D142+F142)*VLOOKUP(C142,Settings!$A$2:$F$5,3,FALSE)/100+(E142*D142+F142)*VLOOKUP(C142,Settings!$A$2:$F$5,4,FALSE)/100+VLOOKUP(C142,Settings!$A$2:$F$5,5,FALSE)+VLOOKUP(C142,Settings!$A$2:$F$5,6,FALSE),0))</f>
        <v/>
      </c>
      <c r="J142" s="3">
        <f>IF(B142="","",IF(ISNA(MATCH(B142,Inventory!$A$2:$A$201,0)),"Check product",E142*D142+F142-I142-G142-H142))</f>
        <v/>
      </c>
      <c r="K142" s="4">
        <f>IF(OR(B142="",NOT(ISNUMBER(J142)),E142*D142+F142=0),"",J142/(E142*D142+F142))</f>
        <v/>
      </c>
    </row>
    <row r="143">
      <c r="A143" s="8" t="n"/>
      <c r="B143" s="6" t="n"/>
      <c r="C143" s="6" t="n"/>
      <c r="D143" s="6" t="n"/>
      <c r="E143" s="7" t="n"/>
      <c r="F143" s="7" t="n"/>
      <c r="G143" s="7" t="n"/>
      <c r="H143" s="3">
        <f>IFERROR(VLOOKUP(B143,Inventory!$A:$B,2,FALSE)*D143,0)</f>
        <v/>
      </c>
      <c r="I143" s="3">
        <f>IF(C143="",0,IFERROR(VLOOKUP(C143,Settings!$A$2:$F$5,2,FALSE)+(E143*D143+F143)*VLOOKUP(C143,Settings!$A$2:$F$5,3,FALSE)/100+(E143*D143+F143)*VLOOKUP(C143,Settings!$A$2:$F$5,4,FALSE)/100+VLOOKUP(C143,Settings!$A$2:$F$5,5,FALSE)+VLOOKUP(C143,Settings!$A$2:$F$5,6,FALSE),0))</f>
        <v/>
      </c>
      <c r="J143" s="3">
        <f>IF(B143="","",IF(ISNA(MATCH(B143,Inventory!$A$2:$A$201,0)),"Check product",E143*D143+F143-I143-G143-H143))</f>
        <v/>
      </c>
      <c r="K143" s="4">
        <f>IF(OR(B143="",NOT(ISNUMBER(J143)),E143*D143+F143=0),"",J143/(E143*D143+F143))</f>
        <v/>
      </c>
    </row>
    <row r="144">
      <c r="A144" s="8" t="n"/>
      <c r="B144" s="6" t="n"/>
      <c r="C144" s="6" t="n"/>
      <c r="D144" s="6" t="n"/>
      <c r="E144" s="7" t="n"/>
      <c r="F144" s="7" t="n"/>
      <c r="G144" s="7" t="n"/>
      <c r="H144" s="3">
        <f>IFERROR(VLOOKUP(B144,Inventory!$A:$B,2,FALSE)*D144,0)</f>
        <v/>
      </c>
      <c r="I144" s="3">
        <f>IF(C144="",0,IFERROR(VLOOKUP(C144,Settings!$A$2:$F$5,2,FALSE)+(E144*D144+F144)*VLOOKUP(C144,Settings!$A$2:$F$5,3,FALSE)/100+(E144*D144+F144)*VLOOKUP(C144,Settings!$A$2:$F$5,4,FALSE)/100+VLOOKUP(C144,Settings!$A$2:$F$5,5,FALSE)+VLOOKUP(C144,Settings!$A$2:$F$5,6,FALSE),0))</f>
        <v/>
      </c>
      <c r="J144" s="3">
        <f>IF(B144="","",IF(ISNA(MATCH(B144,Inventory!$A$2:$A$201,0)),"Check product",E144*D144+F144-I144-G144-H144))</f>
        <v/>
      </c>
      <c r="K144" s="4">
        <f>IF(OR(B144="",NOT(ISNUMBER(J144)),E144*D144+F144=0),"",J144/(E144*D144+F144))</f>
        <v/>
      </c>
    </row>
    <row r="145">
      <c r="A145" s="8" t="n"/>
      <c r="B145" s="6" t="n"/>
      <c r="C145" s="6" t="n"/>
      <c r="D145" s="6" t="n"/>
      <c r="E145" s="7" t="n"/>
      <c r="F145" s="7" t="n"/>
      <c r="G145" s="7" t="n"/>
      <c r="H145" s="3">
        <f>IFERROR(VLOOKUP(B145,Inventory!$A:$B,2,FALSE)*D145,0)</f>
        <v/>
      </c>
      <c r="I145" s="3">
        <f>IF(C145="",0,IFERROR(VLOOKUP(C145,Settings!$A$2:$F$5,2,FALSE)+(E145*D145+F145)*VLOOKUP(C145,Settings!$A$2:$F$5,3,FALSE)/100+(E145*D145+F145)*VLOOKUP(C145,Settings!$A$2:$F$5,4,FALSE)/100+VLOOKUP(C145,Settings!$A$2:$F$5,5,FALSE)+VLOOKUP(C145,Settings!$A$2:$F$5,6,FALSE),0))</f>
        <v/>
      </c>
      <c r="J145" s="3">
        <f>IF(B145="","",IF(ISNA(MATCH(B145,Inventory!$A$2:$A$201,0)),"Check product",E145*D145+F145-I145-G145-H145))</f>
        <v/>
      </c>
      <c r="K145" s="4">
        <f>IF(OR(B145="",NOT(ISNUMBER(J145)),E145*D145+F145=0),"",J145/(E145*D145+F145))</f>
        <v/>
      </c>
    </row>
    <row r="146">
      <c r="A146" s="8" t="n"/>
      <c r="B146" s="6" t="n"/>
      <c r="C146" s="6" t="n"/>
      <c r="D146" s="6" t="n"/>
      <c r="E146" s="7" t="n"/>
      <c r="F146" s="7" t="n"/>
      <c r="G146" s="7" t="n"/>
      <c r="H146" s="3">
        <f>IFERROR(VLOOKUP(B146,Inventory!$A:$B,2,FALSE)*D146,0)</f>
        <v/>
      </c>
      <c r="I146" s="3">
        <f>IF(C146="",0,IFERROR(VLOOKUP(C146,Settings!$A$2:$F$5,2,FALSE)+(E146*D146+F146)*VLOOKUP(C146,Settings!$A$2:$F$5,3,FALSE)/100+(E146*D146+F146)*VLOOKUP(C146,Settings!$A$2:$F$5,4,FALSE)/100+VLOOKUP(C146,Settings!$A$2:$F$5,5,FALSE)+VLOOKUP(C146,Settings!$A$2:$F$5,6,FALSE),0))</f>
        <v/>
      </c>
      <c r="J146" s="3">
        <f>IF(B146="","",IF(ISNA(MATCH(B146,Inventory!$A$2:$A$201,0)),"Check product",E146*D146+F146-I146-G146-H146))</f>
        <v/>
      </c>
      <c r="K146" s="4">
        <f>IF(OR(B146="",NOT(ISNUMBER(J146)),E146*D146+F146=0),"",J146/(E146*D146+F146))</f>
        <v/>
      </c>
    </row>
    <row r="147">
      <c r="A147" s="8" t="n"/>
      <c r="B147" s="6" t="n"/>
      <c r="C147" s="6" t="n"/>
      <c r="D147" s="6" t="n"/>
      <c r="E147" s="7" t="n"/>
      <c r="F147" s="7" t="n"/>
      <c r="G147" s="7" t="n"/>
      <c r="H147" s="3">
        <f>IFERROR(VLOOKUP(B147,Inventory!$A:$B,2,FALSE)*D147,0)</f>
        <v/>
      </c>
      <c r="I147" s="3">
        <f>IF(C147="",0,IFERROR(VLOOKUP(C147,Settings!$A$2:$F$5,2,FALSE)+(E147*D147+F147)*VLOOKUP(C147,Settings!$A$2:$F$5,3,FALSE)/100+(E147*D147+F147)*VLOOKUP(C147,Settings!$A$2:$F$5,4,FALSE)/100+VLOOKUP(C147,Settings!$A$2:$F$5,5,FALSE)+VLOOKUP(C147,Settings!$A$2:$F$5,6,FALSE),0))</f>
        <v/>
      </c>
      <c r="J147" s="3">
        <f>IF(B147="","",IF(ISNA(MATCH(B147,Inventory!$A$2:$A$201,0)),"Check product",E147*D147+F147-I147-G147-H147))</f>
        <v/>
      </c>
      <c r="K147" s="4">
        <f>IF(OR(B147="",NOT(ISNUMBER(J147)),E147*D147+F147=0),"",J147/(E147*D147+F147))</f>
        <v/>
      </c>
    </row>
    <row r="148">
      <c r="A148" s="8" t="n"/>
      <c r="B148" s="6" t="n"/>
      <c r="C148" s="6" t="n"/>
      <c r="D148" s="6" t="n"/>
      <c r="E148" s="7" t="n"/>
      <c r="F148" s="7" t="n"/>
      <c r="G148" s="7" t="n"/>
      <c r="H148" s="3">
        <f>IFERROR(VLOOKUP(B148,Inventory!$A:$B,2,FALSE)*D148,0)</f>
        <v/>
      </c>
      <c r="I148" s="3">
        <f>IF(C148="",0,IFERROR(VLOOKUP(C148,Settings!$A$2:$F$5,2,FALSE)+(E148*D148+F148)*VLOOKUP(C148,Settings!$A$2:$F$5,3,FALSE)/100+(E148*D148+F148)*VLOOKUP(C148,Settings!$A$2:$F$5,4,FALSE)/100+VLOOKUP(C148,Settings!$A$2:$F$5,5,FALSE)+VLOOKUP(C148,Settings!$A$2:$F$5,6,FALSE),0))</f>
        <v/>
      </c>
      <c r="J148" s="3">
        <f>IF(B148="","",IF(ISNA(MATCH(B148,Inventory!$A$2:$A$201,0)),"Check product",E148*D148+F148-I148-G148-H148))</f>
        <v/>
      </c>
      <c r="K148" s="4">
        <f>IF(OR(B148="",NOT(ISNUMBER(J148)),E148*D148+F148=0),"",J148/(E148*D148+F148))</f>
        <v/>
      </c>
    </row>
    <row r="149">
      <c r="A149" s="8" t="n"/>
      <c r="B149" s="6" t="n"/>
      <c r="C149" s="6" t="n"/>
      <c r="D149" s="6" t="n"/>
      <c r="E149" s="7" t="n"/>
      <c r="F149" s="7" t="n"/>
      <c r="G149" s="7" t="n"/>
      <c r="H149" s="3">
        <f>IFERROR(VLOOKUP(B149,Inventory!$A:$B,2,FALSE)*D149,0)</f>
        <v/>
      </c>
      <c r="I149" s="3">
        <f>IF(C149="",0,IFERROR(VLOOKUP(C149,Settings!$A$2:$F$5,2,FALSE)+(E149*D149+F149)*VLOOKUP(C149,Settings!$A$2:$F$5,3,FALSE)/100+(E149*D149+F149)*VLOOKUP(C149,Settings!$A$2:$F$5,4,FALSE)/100+VLOOKUP(C149,Settings!$A$2:$F$5,5,FALSE)+VLOOKUP(C149,Settings!$A$2:$F$5,6,FALSE),0))</f>
        <v/>
      </c>
      <c r="J149" s="3">
        <f>IF(B149="","",IF(ISNA(MATCH(B149,Inventory!$A$2:$A$201,0)),"Check product",E149*D149+F149-I149-G149-H149))</f>
        <v/>
      </c>
      <c r="K149" s="4">
        <f>IF(OR(B149="",NOT(ISNUMBER(J149)),E149*D149+F149=0),"",J149/(E149*D149+F149))</f>
        <v/>
      </c>
    </row>
    <row r="150">
      <c r="A150" s="8" t="n"/>
      <c r="B150" s="6" t="n"/>
      <c r="C150" s="6" t="n"/>
      <c r="D150" s="6" t="n"/>
      <c r="E150" s="7" t="n"/>
      <c r="F150" s="7" t="n"/>
      <c r="G150" s="7" t="n"/>
      <c r="H150" s="3">
        <f>IFERROR(VLOOKUP(B150,Inventory!$A:$B,2,FALSE)*D150,0)</f>
        <v/>
      </c>
      <c r="I150" s="3">
        <f>IF(C150="",0,IFERROR(VLOOKUP(C150,Settings!$A$2:$F$5,2,FALSE)+(E150*D150+F150)*VLOOKUP(C150,Settings!$A$2:$F$5,3,FALSE)/100+(E150*D150+F150)*VLOOKUP(C150,Settings!$A$2:$F$5,4,FALSE)/100+VLOOKUP(C150,Settings!$A$2:$F$5,5,FALSE)+VLOOKUP(C150,Settings!$A$2:$F$5,6,FALSE),0))</f>
        <v/>
      </c>
      <c r="J150" s="3">
        <f>IF(B150="","",IF(ISNA(MATCH(B150,Inventory!$A$2:$A$201,0)),"Check product",E150*D150+F150-I150-G150-H150))</f>
        <v/>
      </c>
      <c r="K150" s="4">
        <f>IF(OR(B150="",NOT(ISNUMBER(J150)),E150*D150+F150=0),"",J150/(E150*D150+F150))</f>
        <v/>
      </c>
    </row>
    <row r="151">
      <c r="A151" s="8" t="n"/>
      <c r="B151" s="6" t="n"/>
      <c r="C151" s="6" t="n"/>
      <c r="D151" s="6" t="n"/>
      <c r="E151" s="7" t="n"/>
      <c r="F151" s="7" t="n"/>
      <c r="G151" s="7" t="n"/>
      <c r="H151" s="3">
        <f>IFERROR(VLOOKUP(B151,Inventory!$A:$B,2,FALSE)*D151,0)</f>
        <v/>
      </c>
      <c r="I151" s="3">
        <f>IF(C151="",0,IFERROR(VLOOKUP(C151,Settings!$A$2:$F$5,2,FALSE)+(E151*D151+F151)*VLOOKUP(C151,Settings!$A$2:$F$5,3,FALSE)/100+(E151*D151+F151)*VLOOKUP(C151,Settings!$A$2:$F$5,4,FALSE)/100+VLOOKUP(C151,Settings!$A$2:$F$5,5,FALSE)+VLOOKUP(C151,Settings!$A$2:$F$5,6,FALSE),0))</f>
        <v/>
      </c>
      <c r="J151" s="3">
        <f>IF(B151="","",IF(ISNA(MATCH(B151,Inventory!$A$2:$A$201,0)),"Check product",E151*D151+F151-I151-G151-H151))</f>
        <v/>
      </c>
      <c r="K151" s="4">
        <f>IF(OR(B151="",NOT(ISNUMBER(J151)),E151*D151+F151=0),"",J151/(E151*D151+F151))</f>
        <v/>
      </c>
    </row>
    <row r="152">
      <c r="A152" s="8" t="n"/>
      <c r="B152" s="6" t="n"/>
      <c r="C152" s="6" t="n"/>
      <c r="D152" s="6" t="n"/>
      <c r="E152" s="7" t="n"/>
      <c r="F152" s="7" t="n"/>
      <c r="G152" s="7" t="n"/>
      <c r="H152" s="3">
        <f>IFERROR(VLOOKUP(B152,Inventory!$A:$B,2,FALSE)*D152,0)</f>
        <v/>
      </c>
      <c r="I152" s="3">
        <f>IF(C152="",0,IFERROR(VLOOKUP(C152,Settings!$A$2:$F$5,2,FALSE)+(E152*D152+F152)*VLOOKUP(C152,Settings!$A$2:$F$5,3,FALSE)/100+(E152*D152+F152)*VLOOKUP(C152,Settings!$A$2:$F$5,4,FALSE)/100+VLOOKUP(C152,Settings!$A$2:$F$5,5,FALSE)+VLOOKUP(C152,Settings!$A$2:$F$5,6,FALSE),0))</f>
        <v/>
      </c>
      <c r="J152" s="3">
        <f>IF(B152="","",IF(ISNA(MATCH(B152,Inventory!$A$2:$A$201,0)),"Check product",E152*D152+F152-I152-G152-H152))</f>
        <v/>
      </c>
      <c r="K152" s="4">
        <f>IF(OR(B152="",NOT(ISNUMBER(J152)),E152*D152+F152=0),"",J152/(E152*D152+F152))</f>
        <v/>
      </c>
    </row>
    <row r="153">
      <c r="A153" s="8" t="n"/>
      <c r="B153" s="6" t="n"/>
      <c r="C153" s="6" t="n"/>
      <c r="D153" s="6" t="n"/>
      <c r="E153" s="7" t="n"/>
      <c r="F153" s="7" t="n"/>
      <c r="G153" s="7" t="n"/>
      <c r="H153" s="3">
        <f>IFERROR(VLOOKUP(B153,Inventory!$A:$B,2,FALSE)*D153,0)</f>
        <v/>
      </c>
      <c r="I153" s="3">
        <f>IF(C153="",0,IFERROR(VLOOKUP(C153,Settings!$A$2:$F$5,2,FALSE)+(E153*D153+F153)*VLOOKUP(C153,Settings!$A$2:$F$5,3,FALSE)/100+(E153*D153+F153)*VLOOKUP(C153,Settings!$A$2:$F$5,4,FALSE)/100+VLOOKUP(C153,Settings!$A$2:$F$5,5,FALSE)+VLOOKUP(C153,Settings!$A$2:$F$5,6,FALSE),0))</f>
        <v/>
      </c>
      <c r="J153" s="3">
        <f>IF(B153="","",IF(ISNA(MATCH(B153,Inventory!$A$2:$A$201,0)),"Check product",E153*D153+F153-I153-G153-H153))</f>
        <v/>
      </c>
      <c r="K153" s="4">
        <f>IF(OR(B153="",NOT(ISNUMBER(J153)),E153*D153+F153=0),"",J153/(E153*D153+F153))</f>
        <v/>
      </c>
    </row>
    <row r="154">
      <c r="A154" s="8" t="n"/>
      <c r="B154" s="6" t="n"/>
      <c r="C154" s="6" t="n"/>
      <c r="D154" s="6" t="n"/>
      <c r="E154" s="7" t="n"/>
      <c r="F154" s="7" t="n"/>
      <c r="G154" s="7" t="n"/>
      <c r="H154" s="3">
        <f>IFERROR(VLOOKUP(B154,Inventory!$A:$B,2,FALSE)*D154,0)</f>
        <v/>
      </c>
      <c r="I154" s="3">
        <f>IF(C154="",0,IFERROR(VLOOKUP(C154,Settings!$A$2:$F$5,2,FALSE)+(E154*D154+F154)*VLOOKUP(C154,Settings!$A$2:$F$5,3,FALSE)/100+(E154*D154+F154)*VLOOKUP(C154,Settings!$A$2:$F$5,4,FALSE)/100+VLOOKUP(C154,Settings!$A$2:$F$5,5,FALSE)+VLOOKUP(C154,Settings!$A$2:$F$5,6,FALSE),0))</f>
        <v/>
      </c>
      <c r="J154" s="3">
        <f>IF(B154="","",IF(ISNA(MATCH(B154,Inventory!$A$2:$A$201,0)),"Check product",E154*D154+F154-I154-G154-H154))</f>
        <v/>
      </c>
      <c r="K154" s="4">
        <f>IF(OR(B154="",NOT(ISNUMBER(J154)),E154*D154+F154=0),"",J154/(E154*D154+F154))</f>
        <v/>
      </c>
    </row>
    <row r="155">
      <c r="A155" s="8" t="n"/>
      <c r="B155" s="6" t="n"/>
      <c r="C155" s="6" t="n"/>
      <c r="D155" s="6" t="n"/>
      <c r="E155" s="7" t="n"/>
      <c r="F155" s="7" t="n"/>
      <c r="G155" s="7" t="n"/>
      <c r="H155" s="3">
        <f>IFERROR(VLOOKUP(B155,Inventory!$A:$B,2,FALSE)*D155,0)</f>
        <v/>
      </c>
      <c r="I155" s="3">
        <f>IF(C155="",0,IFERROR(VLOOKUP(C155,Settings!$A$2:$F$5,2,FALSE)+(E155*D155+F155)*VLOOKUP(C155,Settings!$A$2:$F$5,3,FALSE)/100+(E155*D155+F155)*VLOOKUP(C155,Settings!$A$2:$F$5,4,FALSE)/100+VLOOKUP(C155,Settings!$A$2:$F$5,5,FALSE)+VLOOKUP(C155,Settings!$A$2:$F$5,6,FALSE),0))</f>
        <v/>
      </c>
      <c r="J155" s="3">
        <f>IF(B155="","",IF(ISNA(MATCH(B155,Inventory!$A$2:$A$201,0)),"Check product",E155*D155+F155-I155-G155-H155))</f>
        <v/>
      </c>
      <c r="K155" s="4">
        <f>IF(OR(B155="",NOT(ISNUMBER(J155)),E155*D155+F155=0),"",J155/(E155*D155+F155))</f>
        <v/>
      </c>
    </row>
    <row r="156">
      <c r="A156" s="8" t="n"/>
      <c r="B156" s="6" t="n"/>
      <c r="C156" s="6" t="n"/>
      <c r="D156" s="6" t="n"/>
      <c r="E156" s="7" t="n"/>
      <c r="F156" s="7" t="n"/>
      <c r="G156" s="7" t="n"/>
      <c r="H156" s="3">
        <f>IFERROR(VLOOKUP(B156,Inventory!$A:$B,2,FALSE)*D156,0)</f>
        <v/>
      </c>
      <c r="I156" s="3">
        <f>IF(C156="",0,IFERROR(VLOOKUP(C156,Settings!$A$2:$F$5,2,FALSE)+(E156*D156+F156)*VLOOKUP(C156,Settings!$A$2:$F$5,3,FALSE)/100+(E156*D156+F156)*VLOOKUP(C156,Settings!$A$2:$F$5,4,FALSE)/100+VLOOKUP(C156,Settings!$A$2:$F$5,5,FALSE)+VLOOKUP(C156,Settings!$A$2:$F$5,6,FALSE),0))</f>
        <v/>
      </c>
      <c r="J156" s="3">
        <f>IF(B156="","",IF(ISNA(MATCH(B156,Inventory!$A$2:$A$201,0)),"Check product",E156*D156+F156-I156-G156-H156))</f>
        <v/>
      </c>
      <c r="K156" s="4">
        <f>IF(OR(B156="",NOT(ISNUMBER(J156)),E156*D156+F156=0),"",J156/(E156*D156+F156))</f>
        <v/>
      </c>
    </row>
    <row r="157">
      <c r="A157" s="8" t="n"/>
      <c r="B157" s="6" t="n"/>
      <c r="C157" s="6" t="n"/>
      <c r="D157" s="6" t="n"/>
      <c r="E157" s="7" t="n"/>
      <c r="F157" s="7" t="n"/>
      <c r="G157" s="7" t="n"/>
      <c r="H157" s="3">
        <f>IFERROR(VLOOKUP(B157,Inventory!$A:$B,2,FALSE)*D157,0)</f>
        <v/>
      </c>
      <c r="I157" s="3">
        <f>IF(C157="",0,IFERROR(VLOOKUP(C157,Settings!$A$2:$F$5,2,FALSE)+(E157*D157+F157)*VLOOKUP(C157,Settings!$A$2:$F$5,3,FALSE)/100+(E157*D157+F157)*VLOOKUP(C157,Settings!$A$2:$F$5,4,FALSE)/100+VLOOKUP(C157,Settings!$A$2:$F$5,5,FALSE)+VLOOKUP(C157,Settings!$A$2:$F$5,6,FALSE),0))</f>
        <v/>
      </c>
      <c r="J157" s="3">
        <f>IF(B157="","",IF(ISNA(MATCH(B157,Inventory!$A$2:$A$201,0)),"Check product",E157*D157+F157-I157-G157-H157))</f>
        <v/>
      </c>
      <c r="K157" s="4">
        <f>IF(OR(B157="",NOT(ISNUMBER(J157)),E157*D157+F157=0),"",J157/(E157*D157+F157))</f>
        <v/>
      </c>
    </row>
    <row r="158">
      <c r="A158" s="8" t="n"/>
      <c r="B158" s="6" t="n"/>
      <c r="C158" s="6" t="n"/>
      <c r="D158" s="6" t="n"/>
      <c r="E158" s="7" t="n"/>
      <c r="F158" s="7" t="n"/>
      <c r="G158" s="7" t="n"/>
      <c r="H158" s="3">
        <f>IFERROR(VLOOKUP(B158,Inventory!$A:$B,2,FALSE)*D158,0)</f>
        <v/>
      </c>
      <c r="I158" s="3">
        <f>IF(C158="",0,IFERROR(VLOOKUP(C158,Settings!$A$2:$F$5,2,FALSE)+(E158*D158+F158)*VLOOKUP(C158,Settings!$A$2:$F$5,3,FALSE)/100+(E158*D158+F158)*VLOOKUP(C158,Settings!$A$2:$F$5,4,FALSE)/100+VLOOKUP(C158,Settings!$A$2:$F$5,5,FALSE)+VLOOKUP(C158,Settings!$A$2:$F$5,6,FALSE),0))</f>
        <v/>
      </c>
      <c r="J158" s="3">
        <f>IF(B158="","",IF(ISNA(MATCH(B158,Inventory!$A$2:$A$201,0)),"Check product",E158*D158+F158-I158-G158-H158))</f>
        <v/>
      </c>
      <c r="K158" s="4">
        <f>IF(OR(B158="",NOT(ISNUMBER(J158)),E158*D158+F158=0),"",J158/(E158*D158+F158))</f>
        <v/>
      </c>
    </row>
    <row r="159">
      <c r="A159" s="8" t="n"/>
      <c r="B159" s="6" t="n"/>
      <c r="C159" s="6" t="n"/>
      <c r="D159" s="6" t="n"/>
      <c r="E159" s="7" t="n"/>
      <c r="F159" s="7" t="n"/>
      <c r="G159" s="7" t="n"/>
      <c r="H159" s="3">
        <f>IFERROR(VLOOKUP(B159,Inventory!$A:$B,2,FALSE)*D159,0)</f>
        <v/>
      </c>
      <c r="I159" s="3">
        <f>IF(C159="",0,IFERROR(VLOOKUP(C159,Settings!$A$2:$F$5,2,FALSE)+(E159*D159+F159)*VLOOKUP(C159,Settings!$A$2:$F$5,3,FALSE)/100+(E159*D159+F159)*VLOOKUP(C159,Settings!$A$2:$F$5,4,FALSE)/100+VLOOKUP(C159,Settings!$A$2:$F$5,5,FALSE)+VLOOKUP(C159,Settings!$A$2:$F$5,6,FALSE),0))</f>
        <v/>
      </c>
      <c r="J159" s="3">
        <f>IF(B159="","",IF(ISNA(MATCH(B159,Inventory!$A$2:$A$201,0)),"Check product",E159*D159+F159-I159-G159-H159))</f>
        <v/>
      </c>
      <c r="K159" s="4">
        <f>IF(OR(B159="",NOT(ISNUMBER(J159)),E159*D159+F159=0),"",J159/(E159*D159+F159))</f>
        <v/>
      </c>
    </row>
    <row r="160">
      <c r="A160" s="8" t="n"/>
      <c r="B160" s="6" t="n"/>
      <c r="C160" s="6" t="n"/>
      <c r="D160" s="6" t="n"/>
      <c r="E160" s="7" t="n"/>
      <c r="F160" s="7" t="n"/>
      <c r="G160" s="7" t="n"/>
      <c r="H160" s="3">
        <f>IFERROR(VLOOKUP(B160,Inventory!$A:$B,2,FALSE)*D160,0)</f>
        <v/>
      </c>
      <c r="I160" s="3">
        <f>IF(C160="",0,IFERROR(VLOOKUP(C160,Settings!$A$2:$F$5,2,FALSE)+(E160*D160+F160)*VLOOKUP(C160,Settings!$A$2:$F$5,3,FALSE)/100+(E160*D160+F160)*VLOOKUP(C160,Settings!$A$2:$F$5,4,FALSE)/100+VLOOKUP(C160,Settings!$A$2:$F$5,5,FALSE)+VLOOKUP(C160,Settings!$A$2:$F$5,6,FALSE),0))</f>
        <v/>
      </c>
      <c r="J160" s="3">
        <f>IF(B160="","",IF(ISNA(MATCH(B160,Inventory!$A$2:$A$201,0)),"Check product",E160*D160+F160-I160-G160-H160))</f>
        <v/>
      </c>
      <c r="K160" s="4">
        <f>IF(OR(B160="",NOT(ISNUMBER(J160)),E160*D160+F160=0),"",J160/(E160*D160+F160))</f>
        <v/>
      </c>
    </row>
    <row r="161">
      <c r="A161" s="8" t="n"/>
      <c r="B161" s="6" t="n"/>
      <c r="C161" s="6" t="n"/>
      <c r="D161" s="6" t="n"/>
      <c r="E161" s="7" t="n"/>
      <c r="F161" s="7" t="n"/>
      <c r="G161" s="7" t="n"/>
      <c r="H161" s="3">
        <f>IFERROR(VLOOKUP(B161,Inventory!$A:$B,2,FALSE)*D161,0)</f>
        <v/>
      </c>
      <c r="I161" s="3">
        <f>IF(C161="",0,IFERROR(VLOOKUP(C161,Settings!$A$2:$F$5,2,FALSE)+(E161*D161+F161)*VLOOKUP(C161,Settings!$A$2:$F$5,3,FALSE)/100+(E161*D161+F161)*VLOOKUP(C161,Settings!$A$2:$F$5,4,FALSE)/100+VLOOKUP(C161,Settings!$A$2:$F$5,5,FALSE)+VLOOKUP(C161,Settings!$A$2:$F$5,6,FALSE),0))</f>
        <v/>
      </c>
      <c r="J161" s="3">
        <f>IF(B161="","",IF(ISNA(MATCH(B161,Inventory!$A$2:$A$201,0)),"Check product",E161*D161+F161-I161-G161-H161))</f>
        <v/>
      </c>
      <c r="K161" s="4">
        <f>IF(OR(B161="",NOT(ISNUMBER(J161)),E161*D161+F161=0),"",J161/(E161*D161+F161))</f>
        <v/>
      </c>
    </row>
    <row r="162">
      <c r="A162" s="8" t="n"/>
      <c r="B162" s="6" t="n"/>
      <c r="C162" s="6" t="n"/>
      <c r="D162" s="6" t="n"/>
      <c r="E162" s="7" t="n"/>
      <c r="F162" s="7" t="n"/>
      <c r="G162" s="7" t="n"/>
      <c r="H162" s="3">
        <f>IFERROR(VLOOKUP(B162,Inventory!$A:$B,2,FALSE)*D162,0)</f>
        <v/>
      </c>
      <c r="I162" s="3">
        <f>IF(C162="",0,IFERROR(VLOOKUP(C162,Settings!$A$2:$F$5,2,FALSE)+(E162*D162+F162)*VLOOKUP(C162,Settings!$A$2:$F$5,3,FALSE)/100+(E162*D162+F162)*VLOOKUP(C162,Settings!$A$2:$F$5,4,FALSE)/100+VLOOKUP(C162,Settings!$A$2:$F$5,5,FALSE)+VLOOKUP(C162,Settings!$A$2:$F$5,6,FALSE),0))</f>
        <v/>
      </c>
      <c r="J162" s="3">
        <f>IF(B162="","",IF(ISNA(MATCH(B162,Inventory!$A$2:$A$201,0)),"Check product",E162*D162+F162-I162-G162-H162))</f>
        <v/>
      </c>
      <c r="K162" s="4">
        <f>IF(OR(B162="",NOT(ISNUMBER(J162)),E162*D162+F162=0),"",J162/(E162*D162+F162))</f>
        <v/>
      </c>
    </row>
    <row r="163">
      <c r="A163" s="8" t="n"/>
      <c r="B163" s="6" t="n"/>
      <c r="C163" s="6" t="n"/>
      <c r="D163" s="6" t="n"/>
      <c r="E163" s="7" t="n"/>
      <c r="F163" s="7" t="n"/>
      <c r="G163" s="7" t="n"/>
      <c r="H163" s="3">
        <f>IFERROR(VLOOKUP(B163,Inventory!$A:$B,2,FALSE)*D163,0)</f>
        <v/>
      </c>
      <c r="I163" s="3">
        <f>IF(C163="",0,IFERROR(VLOOKUP(C163,Settings!$A$2:$F$5,2,FALSE)+(E163*D163+F163)*VLOOKUP(C163,Settings!$A$2:$F$5,3,FALSE)/100+(E163*D163+F163)*VLOOKUP(C163,Settings!$A$2:$F$5,4,FALSE)/100+VLOOKUP(C163,Settings!$A$2:$F$5,5,FALSE)+VLOOKUP(C163,Settings!$A$2:$F$5,6,FALSE),0))</f>
        <v/>
      </c>
      <c r="J163" s="3">
        <f>IF(B163="","",IF(ISNA(MATCH(B163,Inventory!$A$2:$A$201,0)),"Check product",E163*D163+F163-I163-G163-H163))</f>
        <v/>
      </c>
      <c r="K163" s="4">
        <f>IF(OR(B163="",NOT(ISNUMBER(J163)),E163*D163+F163=0),"",J163/(E163*D163+F163))</f>
        <v/>
      </c>
    </row>
    <row r="164">
      <c r="A164" s="8" t="n"/>
      <c r="B164" s="6" t="n"/>
      <c r="C164" s="6" t="n"/>
      <c r="D164" s="6" t="n"/>
      <c r="E164" s="7" t="n"/>
      <c r="F164" s="7" t="n"/>
      <c r="G164" s="7" t="n"/>
      <c r="H164" s="3">
        <f>IFERROR(VLOOKUP(B164,Inventory!$A:$B,2,FALSE)*D164,0)</f>
        <v/>
      </c>
      <c r="I164" s="3">
        <f>IF(C164="",0,IFERROR(VLOOKUP(C164,Settings!$A$2:$F$5,2,FALSE)+(E164*D164+F164)*VLOOKUP(C164,Settings!$A$2:$F$5,3,FALSE)/100+(E164*D164+F164)*VLOOKUP(C164,Settings!$A$2:$F$5,4,FALSE)/100+VLOOKUP(C164,Settings!$A$2:$F$5,5,FALSE)+VLOOKUP(C164,Settings!$A$2:$F$5,6,FALSE),0))</f>
        <v/>
      </c>
      <c r="J164" s="3">
        <f>IF(B164="","",IF(ISNA(MATCH(B164,Inventory!$A$2:$A$201,0)),"Check product",E164*D164+F164-I164-G164-H164))</f>
        <v/>
      </c>
      <c r="K164" s="4">
        <f>IF(OR(B164="",NOT(ISNUMBER(J164)),E164*D164+F164=0),"",J164/(E164*D164+F164))</f>
        <v/>
      </c>
    </row>
    <row r="165">
      <c r="A165" s="8" t="n"/>
      <c r="B165" s="6" t="n"/>
      <c r="C165" s="6" t="n"/>
      <c r="D165" s="6" t="n"/>
      <c r="E165" s="7" t="n"/>
      <c r="F165" s="7" t="n"/>
      <c r="G165" s="7" t="n"/>
      <c r="H165" s="3">
        <f>IFERROR(VLOOKUP(B165,Inventory!$A:$B,2,FALSE)*D165,0)</f>
        <v/>
      </c>
      <c r="I165" s="3">
        <f>IF(C165="",0,IFERROR(VLOOKUP(C165,Settings!$A$2:$F$5,2,FALSE)+(E165*D165+F165)*VLOOKUP(C165,Settings!$A$2:$F$5,3,FALSE)/100+(E165*D165+F165)*VLOOKUP(C165,Settings!$A$2:$F$5,4,FALSE)/100+VLOOKUP(C165,Settings!$A$2:$F$5,5,FALSE)+VLOOKUP(C165,Settings!$A$2:$F$5,6,FALSE),0))</f>
        <v/>
      </c>
      <c r="J165" s="3">
        <f>IF(B165="","",IF(ISNA(MATCH(B165,Inventory!$A$2:$A$201,0)),"Check product",E165*D165+F165-I165-G165-H165))</f>
        <v/>
      </c>
      <c r="K165" s="4">
        <f>IF(OR(B165="",NOT(ISNUMBER(J165)),E165*D165+F165=0),"",J165/(E165*D165+F165))</f>
        <v/>
      </c>
    </row>
    <row r="166">
      <c r="A166" s="8" t="n"/>
      <c r="B166" s="6" t="n"/>
      <c r="C166" s="6" t="n"/>
      <c r="D166" s="6" t="n"/>
      <c r="E166" s="7" t="n"/>
      <c r="F166" s="7" t="n"/>
      <c r="G166" s="7" t="n"/>
      <c r="H166" s="3">
        <f>IFERROR(VLOOKUP(B166,Inventory!$A:$B,2,FALSE)*D166,0)</f>
        <v/>
      </c>
      <c r="I166" s="3">
        <f>IF(C166="",0,IFERROR(VLOOKUP(C166,Settings!$A$2:$F$5,2,FALSE)+(E166*D166+F166)*VLOOKUP(C166,Settings!$A$2:$F$5,3,FALSE)/100+(E166*D166+F166)*VLOOKUP(C166,Settings!$A$2:$F$5,4,FALSE)/100+VLOOKUP(C166,Settings!$A$2:$F$5,5,FALSE)+VLOOKUP(C166,Settings!$A$2:$F$5,6,FALSE),0))</f>
        <v/>
      </c>
      <c r="J166" s="3">
        <f>IF(B166="","",IF(ISNA(MATCH(B166,Inventory!$A$2:$A$201,0)),"Check product",E166*D166+F166-I166-G166-H166))</f>
        <v/>
      </c>
      <c r="K166" s="4">
        <f>IF(OR(B166="",NOT(ISNUMBER(J166)),E166*D166+F166=0),"",J166/(E166*D166+F166))</f>
        <v/>
      </c>
    </row>
    <row r="167">
      <c r="A167" s="8" t="n"/>
      <c r="B167" s="6" t="n"/>
      <c r="C167" s="6" t="n"/>
      <c r="D167" s="6" t="n"/>
      <c r="E167" s="7" t="n"/>
      <c r="F167" s="7" t="n"/>
      <c r="G167" s="7" t="n"/>
      <c r="H167" s="3">
        <f>IFERROR(VLOOKUP(B167,Inventory!$A:$B,2,FALSE)*D167,0)</f>
        <v/>
      </c>
      <c r="I167" s="3">
        <f>IF(C167="",0,IFERROR(VLOOKUP(C167,Settings!$A$2:$F$5,2,FALSE)+(E167*D167+F167)*VLOOKUP(C167,Settings!$A$2:$F$5,3,FALSE)/100+(E167*D167+F167)*VLOOKUP(C167,Settings!$A$2:$F$5,4,FALSE)/100+VLOOKUP(C167,Settings!$A$2:$F$5,5,FALSE)+VLOOKUP(C167,Settings!$A$2:$F$5,6,FALSE),0))</f>
        <v/>
      </c>
      <c r="J167" s="3">
        <f>IF(B167="","",IF(ISNA(MATCH(B167,Inventory!$A$2:$A$201,0)),"Check product",E167*D167+F167-I167-G167-H167))</f>
        <v/>
      </c>
      <c r="K167" s="4">
        <f>IF(OR(B167="",NOT(ISNUMBER(J167)),E167*D167+F167=0),"",J167/(E167*D167+F167))</f>
        <v/>
      </c>
    </row>
    <row r="168">
      <c r="A168" s="8" t="n"/>
      <c r="B168" s="6" t="n"/>
      <c r="C168" s="6" t="n"/>
      <c r="D168" s="6" t="n"/>
      <c r="E168" s="7" t="n"/>
      <c r="F168" s="7" t="n"/>
      <c r="G168" s="7" t="n"/>
      <c r="H168" s="3">
        <f>IFERROR(VLOOKUP(B168,Inventory!$A:$B,2,FALSE)*D168,0)</f>
        <v/>
      </c>
      <c r="I168" s="3">
        <f>IF(C168="",0,IFERROR(VLOOKUP(C168,Settings!$A$2:$F$5,2,FALSE)+(E168*D168+F168)*VLOOKUP(C168,Settings!$A$2:$F$5,3,FALSE)/100+(E168*D168+F168)*VLOOKUP(C168,Settings!$A$2:$F$5,4,FALSE)/100+VLOOKUP(C168,Settings!$A$2:$F$5,5,FALSE)+VLOOKUP(C168,Settings!$A$2:$F$5,6,FALSE),0))</f>
        <v/>
      </c>
      <c r="J168" s="3">
        <f>IF(B168="","",IF(ISNA(MATCH(B168,Inventory!$A$2:$A$201,0)),"Check product",E168*D168+F168-I168-G168-H168))</f>
        <v/>
      </c>
      <c r="K168" s="4">
        <f>IF(OR(B168="",NOT(ISNUMBER(J168)),E168*D168+F168=0),"",J168/(E168*D168+F168))</f>
        <v/>
      </c>
    </row>
    <row r="169">
      <c r="A169" s="8" t="n"/>
      <c r="B169" s="6" t="n"/>
      <c r="C169" s="6" t="n"/>
      <c r="D169" s="6" t="n"/>
      <c r="E169" s="7" t="n"/>
      <c r="F169" s="7" t="n"/>
      <c r="G169" s="7" t="n"/>
      <c r="H169" s="3">
        <f>IFERROR(VLOOKUP(B169,Inventory!$A:$B,2,FALSE)*D169,0)</f>
        <v/>
      </c>
      <c r="I169" s="3">
        <f>IF(C169="",0,IFERROR(VLOOKUP(C169,Settings!$A$2:$F$5,2,FALSE)+(E169*D169+F169)*VLOOKUP(C169,Settings!$A$2:$F$5,3,FALSE)/100+(E169*D169+F169)*VLOOKUP(C169,Settings!$A$2:$F$5,4,FALSE)/100+VLOOKUP(C169,Settings!$A$2:$F$5,5,FALSE)+VLOOKUP(C169,Settings!$A$2:$F$5,6,FALSE),0))</f>
        <v/>
      </c>
      <c r="J169" s="3">
        <f>IF(B169="","",IF(ISNA(MATCH(B169,Inventory!$A$2:$A$201,0)),"Check product",E169*D169+F169-I169-G169-H169))</f>
        <v/>
      </c>
      <c r="K169" s="4">
        <f>IF(OR(B169="",NOT(ISNUMBER(J169)),E169*D169+F169=0),"",J169/(E169*D169+F169))</f>
        <v/>
      </c>
    </row>
    <row r="170">
      <c r="A170" s="8" t="n"/>
      <c r="B170" s="6" t="n"/>
      <c r="C170" s="6" t="n"/>
      <c r="D170" s="6" t="n"/>
      <c r="E170" s="7" t="n"/>
      <c r="F170" s="7" t="n"/>
      <c r="G170" s="7" t="n"/>
      <c r="H170" s="3">
        <f>IFERROR(VLOOKUP(B170,Inventory!$A:$B,2,FALSE)*D170,0)</f>
        <v/>
      </c>
      <c r="I170" s="3">
        <f>IF(C170="",0,IFERROR(VLOOKUP(C170,Settings!$A$2:$F$5,2,FALSE)+(E170*D170+F170)*VLOOKUP(C170,Settings!$A$2:$F$5,3,FALSE)/100+(E170*D170+F170)*VLOOKUP(C170,Settings!$A$2:$F$5,4,FALSE)/100+VLOOKUP(C170,Settings!$A$2:$F$5,5,FALSE)+VLOOKUP(C170,Settings!$A$2:$F$5,6,FALSE),0))</f>
        <v/>
      </c>
      <c r="J170" s="3">
        <f>IF(B170="","",IF(ISNA(MATCH(B170,Inventory!$A$2:$A$201,0)),"Check product",E170*D170+F170-I170-G170-H170))</f>
        <v/>
      </c>
      <c r="K170" s="4">
        <f>IF(OR(B170="",NOT(ISNUMBER(J170)),E170*D170+F170=0),"",J170/(E170*D170+F170))</f>
        <v/>
      </c>
    </row>
    <row r="171">
      <c r="A171" s="8" t="n"/>
      <c r="B171" s="6" t="n"/>
      <c r="C171" s="6" t="n"/>
      <c r="D171" s="6" t="n"/>
      <c r="E171" s="7" t="n"/>
      <c r="F171" s="7" t="n"/>
      <c r="G171" s="7" t="n"/>
      <c r="H171" s="3">
        <f>IFERROR(VLOOKUP(B171,Inventory!$A:$B,2,FALSE)*D171,0)</f>
        <v/>
      </c>
      <c r="I171" s="3">
        <f>IF(C171="",0,IFERROR(VLOOKUP(C171,Settings!$A$2:$F$5,2,FALSE)+(E171*D171+F171)*VLOOKUP(C171,Settings!$A$2:$F$5,3,FALSE)/100+(E171*D171+F171)*VLOOKUP(C171,Settings!$A$2:$F$5,4,FALSE)/100+VLOOKUP(C171,Settings!$A$2:$F$5,5,FALSE)+VLOOKUP(C171,Settings!$A$2:$F$5,6,FALSE),0))</f>
        <v/>
      </c>
      <c r="J171" s="3">
        <f>IF(B171="","",IF(ISNA(MATCH(B171,Inventory!$A$2:$A$201,0)),"Check product",E171*D171+F171-I171-G171-H171))</f>
        <v/>
      </c>
      <c r="K171" s="4">
        <f>IF(OR(B171="",NOT(ISNUMBER(J171)),E171*D171+F171=0),"",J171/(E171*D171+F171))</f>
        <v/>
      </c>
    </row>
    <row r="172">
      <c r="A172" s="8" t="n"/>
      <c r="B172" s="6" t="n"/>
      <c r="C172" s="6" t="n"/>
      <c r="D172" s="6" t="n"/>
      <c r="E172" s="7" t="n"/>
      <c r="F172" s="7" t="n"/>
      <c r="G172" s="7" t="n"/>
      <c r="H172" s="3">
        <f>IFERROR(VLOOKUP(B172,Inventory!$A:$B,2,FALSE)*D172,0)</f>
        <v/>
      </c>
      <c r="I172" s="3">
        <f>IF(C172="",0,IFERROR(VLOOKUP(C172,Settings!$A$2:$F$5,2,FALSE)+(E172*D172+F172)*VLOOKUP(C172,Settings!$A$2:$F$5,3,FALSE)/100+(E172*D172+F172)*VLOOKUP(C172,Settings!$A$2:$F$5,4,FALSE)/100+VLOOKUP(C172,Settings!$A$2:$F$5,5,FALSE)+VLOOKUP(C172,Settings!$A$2:$F$5,6,FALSE),0))</f>
        <v/>
      </c>
      <c r="J172" s="3">
        <f>IF(B172="","",IF(ISNA(MATCH(B172,Inventory!$A$2:$A$201,0)),"Check product",E172*D172+F172-I172-G172-H172))</f>
        <v/>
      </c>
      <c r="K172" s="4">
        <f>IF(OR(B172="",NOT(ISNUMBER(J172)),E172*D172+F172=0),"",J172/(E172*D172+F172))</f>
        <v/>
      </c>
    </row>
    <row r="173">
      <c r="A173" s="8" t="n"/>
      <c r="B173" s="6" t="n"/>
      <c r="C173" s="6" t="n"/>
      <c r="D173" s="6" t="n"/>
      <c r="E173" s="7" t="n"/>
      <c r="F173" s="7" t="n"/>
      <c r="G173" s="7" t="n"/>
      <c r="H173" s="3">
        <f>IFERROR(VLOOKUP(B173,Inventory!$A:$B,2,FALSE)*D173,0)</f>
        <v/>
      </c>
      <c r="I173" s="3">
        <f>IF(C173="",0,IFERROR(VLOOKUP(C173,Settings!$A$2:$F$5,2,FALSE)+(E173*D173+F173)*VLOOKUP(C173,Settings!$A$2:$F$5,3,FALSE)/100+(E173*D173+F173)*VLOOKUP(C173,Settings!$A$2:$F$5,4,FALSE)/100+VLOOKUP(C173,Settings!$A$2:$F$5,5,FALSE)+VLOOKUP(C173,Settings!$A$2:$F$5,6,FALSE),0))</f>
        <v/>
      </c>
      <c r="J173" s="3">
        <f>IF(B173="","",IF(ISNA(MATCH(B173,Inventory!$A$2:$A$201,0)),"Check product",E173*D173+F173-I173-G173-H173))</f>
        <v/>
      </c>
      <c r="K173" s="4">
        <f>IF(OR(B173="",NOT(ISNUMBER(J173)),E173*D173+F173=0),"",J173/(E173*D173+F173))</f>
        <v/>
      </c>
    </row>
    <row r="174">
      <c r="A174" s="8" t="n"/>
      <c r="B174" s="6" t="n"/>
      <c r="C174" s="6" t="n"/>
      <c r="D174" s="6" t="n"/>
      <c r="E174" s="7" t="n"/>
      <c r="F174" s="7" t="n"/>
      <c r="G174" s="7" t="n"/>
      <c r="H174" s="3">
        <f>IFERROR(VLOOKUP(B174,Inventory!$A:$B,2,FALSE)*D174,0)</f>
        <v/>
      </c>
      <c r="I174" s="3">
        <f>IF(C174="",0,IFERROR(VLOOKUP(C174,Settings!$A$2:$F$5,2,FALSE)+(E174*D174+F174)*VLOOKUP(C174,Settings!$A$2:$F$5,3,FALSE)/100+(E174*D174+F174)*VLOOKUP(C174,Settings!$A$2:$F$5,4,FALSE)/100+VLOOKUP(C174,Settings!$A$2:$F$5,5,FALSE)+VLOOKUP(C174,Settings!$A$2:$F$5,6,FALSE),0))</f>
        <v/>
      </c>
      <c r="J174" s="3">
        <f>IF(B174="","",IF(ISNA(MATCH(B174,Inventory!$A$2:$A$201,0)),"Check product",E174*D174+F174-I174-G174-H174))</f>
        <v/>
      </c>
      <c r="K174" s="4">
        <f>IF(OR(B174="",NOT(ISNUMBER(J174)),E174*D174+F174=0),"",J174/(E174*D174+F174))</f>
        <v/>
      </c>
    </row>
    <row r="175">
      <c r="A175" s="8" t="n"/>
      <c r="B175" s="6" t="n"/>
      <c r="C175" s="6" t="n"/>
      <c r="D175" s="6" t="n"/>
      <c r="E175" s="7" t="n"/>
      <c r="F175" s="7" t="n"/>
      <c r="G175" s="7" t="n"/>
      <c r="H175" s="3">
        <f>IFERROR(VLOOKUP(B175,Inventory!$A:$B,2,FALSE)*D175,0)</f>
        <v/>
      </c>
      <c r="I175" s="3">
        <f>IF(C175="",0,IFERROR(VLOOKUP(C175,Settings!$A$2:$F$5,2,FALSE)+(E175*D175+F175)*VLOOKUP(C175,Settings!$A$2:$F$5,3,FALSE)/100+(E175*D175+F175)*VLOOKUP(C175,Settings!$A$2:$F$5,4,FALSE)/100+VLOOKUP(C175,Settings!$A$2:$F$5,5,FALSE)+VLOOKUP(C175,Settings!$A$2:$F$5,6,FALSE),0))</f>
        <v/>
      </c>
      <c r="J175" s="3">
        <f>IF(B175="","",IF(ISNA(MATCH(B175,Inventory!$A$2:$A$201,0)),"Check product",E175*D175+F175-I175-G175-H175))</f>
        <v/>
      </c>
      <c r="K175" s="4">
        <f>IF(OR(B175="",NOT(ISNUMBER(J175)),E175*D175+F175=0),"",J175/(E175*D175+F175))</f>
        <v/>
      </c>
    </row>
    <row r="176">
      <c r="A176" s="8" t="n"/>
      <c r="B176" s="6" t="n"/>
      <c r="C176" s="6" t="n"/>
      <c r="D176" s="6" t="n"/>
      <c r="E176" s="7" t="n"/>
      <c r="F176" s="7" t="n"/>
      <c r="G176" s="7" t="n"/>
      <c r="H176" s="3">
        <f>IFERROR(VLOOKUP(B176,Inventory!$A:$B,2,FALSE)*D176,0)</f>
        <v/>
      </c>
      <c r="I176" s="3">
        <f>IF(C176="",0,IFERROR(VLOOKUP(C176,Settings!$A$2:$F$5,2,FALSE)+(E176*D176+F176)*VLOOKUP(C176,Settings!$A$2:$F$5,3,FALSE)/100+(E176*D176+F176)*VLOOKUP(C176,Settings!$A$2:$F$5,4,FALSE)/100+VLOOKUP(C176,Settings!$A$2:$F$5,5,FALSE)+VLOOKUP(C176,Settings!$A$2:$F$5,6,FALSE),0))</f>
        <v/>
      </c>
      <c r="J176" s="3">
        <f>IF(B176="","",IF(ISNA(MATCH(B176,Inventory!$A$2:$A$201,0)),"Check product",E176*D176+F176-I176-G176-H176))</f>
        <v/>
      </c>
      <c r="K176" s="4">
        <f>IF(OR(B176="",NOT(ISNUMBER(J176)),E176*D176+F176=0),"",J176/(E176*D176+F176))</f>
        <v/>
      </c>
    </row>
    <row r="177">
      <c r="A177" s="8" t="n"/>
      <c r="B177" s="6" t="n"/>
      <c r="C177" s="6" t="n"/>
      <c r="D177" s="6" t="n"/>
      <c r="E177" s="7" t="n"/>
      <c r="F177" s="7" t="n"/>
      <c r="G177" s="7" t="n"/>
      <c r="H177" s="3">
        <f>IFERROR(VLOOKUP(B177,Inventory!$A:$B,2,FALSE)*D177,0)</f>
        <v/>
      </c>
      <c r="I177" s="3">
        <f>IF(C177="",0,IFERROR(VLOOKUP(C177,Settings!$A$2:$F$5,2,FALSE)+(E177*D177+F177)*VLOOKUP(C177,Settings!$A$2:$F$5,3,FALSE)/100+(E177*D177+F177)*VLOOKUP(C177,Settings!$A$2:$F$5,4,FALSE)/100+VLOOKUP(C177,Settings!$A$2:$F$5,5,FALSE)+VLOOKUP(C177,Settings!$A$2:$F$5,6,FALSE),0))</f>
        <v/>
      </c>
      <c r="J177" s="3">
        <f>IF(B177="","",IF(ISNA(MATCH(B177,Inventory!$A$2:$A$201,0)),"Check product",E177*D177+F177-I177-G177-H177))</f>
        <v/>
      </c>
      <c r="K177" s="4">
        <f>IF(OR(B177="",NOT(ISNUMBER(J177)),E177*D177+F177=0),"",J177/(E177*D177+F177))</f>
        <v/>
      </c>
    </row>
    <row r="178">
      <c r="A178" s="8" t="n"/>
      <c r="B178" s="6" t="n"/>
      <c r="C178" s="6" t="n"/>
      <c r="D178" s="6" t="n"/>
      <c r="E178" s="7" t="n"/>
      <c r="F178" s="7" t="n"/>
      <c r="G178" s="7" t="n"/>
      <c r="H178" s="3">
        <f>IFERROR(VLOOKUP(B178,Inventory!$A:$B,2,FALSE)*D178,0)</f>
        <v/>
      </c>
      <c r="I178" s="3">
        <f>IF(C178="",0,IFERROR(VLOOKUP(C178,Settings!$A$2:$F$5,2,FALSE)+(E178*D178+F178)*VLOOKUP(C178,Settings!$A$2:$F$5,3,FALSE)/100+(E178*D178+F178)*VLOOKUP(C178,Settings!$A$2:$F$5,4,FALSE)/100+VLOOKUP(C178,Settings!$A$2:$F$5,5,FALSE)+VLOOKUP(C178,Settings!$A$2:$F$5,6,FALSE),0))</f>
        <v/>
      </c>
      <c r="J178" s="3">
        <f>IF(B178="","",IF(ISNA(MATCH(B178,Inventory!$A$2:$A$201,0)),"Check product",E178*D178+F178-I178-G178-H178))</f>
        <v/>
      </c>
      <c r="K178" s="4">
        <f>IF(OR(B178="",NOT(ISNUMBER(J178)),E178*D178+F178=0),"",J178/(E178*D178+F178))</f>
        <v/>
      </c>
    </row>
    <row r="179">
      <c r="A179" s="8" t="n"/>
      <c r="B179" s="6" t="n"/>
      <c r="C179" s="6" t="n"/>
      <c r="D179" s="6" t="n"/>
      <c r="E179" s="7" t="n"/>
      <c r="F179" s="7" t="n"/>
      <c r="G179" s="7" t="n"/>
      <c r="H179" s="3">
        <f>IFERROR(VLOOKUP(B179,Inventory!$A:$B,2,FALSE)*D179,0)</f>
        <v/>
      </c>
      <c r="I179" s="3">
        <f>IF(C179="",0,IFERROR(VLOOKUP(C179,Settings!$A$2:$F$5,2,FALSE)+(E179*D179+F179)*VLOOKUP(C179,Settings!$A$2:$F$5,3,FALSE)/100+(E179*D179+F179)*VLOOKUP(C179,Settings!$A$2:$F$5,4,FALSE)/100+VLOOKUP(C179,Settings!$A$2:$F$5,5,FALSE)+VLOOKUP(C179,Settings!$A$2:$F$5,6,FALSE),0))</f>
        <v/>
      </c>
      <c r="J179" s="3">
        <f>IF(B179="","",IF(ISNA(MATCH(B179,Inventory!$A$2:$A$201,0)),"Check product",E179*D179+F179-I179-G179-H179))</f>
        <v/>
      </c>
      <c r="K179" s="4">
        <f>IF(OR(B179="",NOT(ISNUMBER(J179)),E179*D179+F179=0),"",J179/(E179*D179+F179))</f>
        <v/>
      </c>
    </row>
    <row r="180">
      <c r="A180" s="8" t="n"/>
      <c r="B180" s="6" t="n"/>
      <c r="C180" s="6" t="n"/>
      <c r="D180" s="6" t="n"/>
      <c r="E180" s="7" t="n"/>
      <c r="F180" s="7" t="n"/>
      <c r="G180" s="7" t="n"/>
      <c r="H180" s="3">
        <f>IFERROR(VLOOKUP(B180,Inventory!$A:$B,2,FALSE)*D180,0)</f>
        <v/>
      </c>
      <c r="I180" s="3">
        <f>IF(C180="",0,IFERROR(VLOOKUP(C180,Settings!$A$2:$F$5,2,FALSE)+(E180*D180+F180)*VLOOKUP(C180,Settings!$A$2:$F$5,3,FALSE)/100+(E180*D180+F180)*VLOOKUP(C180,Settings!$A$2:$F$5,4,FALSE)/100+VLOOKUP(C180,Settings!$A$2:$F$5,5,FALSE)+VLOOKUP(C180,Settings!$A$2:$F$5,6,FALSE),0))</f>
        <v/>
      </c>
      <c r="J180" s="3">
        <f>IF(B180="","",IF(ISNA(MATCH(B180,Inventory!$A$2:$A$201,0)),"Check product",E180*D180+F180-I180-G180-H180))</f>
        <v/>
      </c>
      <c r="K180" s="4">
        <f>IF(OR(B180="",NOT(ISNUMBER(J180)),E180*D180+F180=0),"",J180/(E180*D180+F180))</f>
        <v/>
      </c>
    </row>
    <row r="181">
      <c r="A181" s="8" t="n"/>
      <c r="B181" s="6" t="n"/>
      <c r="C181" s="6" t="n"/>
      <c r="D181" s="6" t="n"/>
      <c r="E181" s="7" t="n"/>
      <c r="F181" s="7" t="n"/>
      <c r="G181" s="7" t="n"/>
      <c r="H181" s="3">
        <f>IFERROR(VLOOKUP(B181,Inventory!$A:$B,2,FALSE)*D181,0)</f>
        <v/>
      </c>
      <c r="I181" s="3">
        <f>IF(C181="",0,IFERROR(VLOOKUP(C181,Settings!$A$2:$F$5,2,FALSE)+(E181*D181+F181)*VLOOKUP(C181,Settings!$A$2:$F$5,3,FALSE)/100+(E181*D181+F181)*VLOOKUP(C181,Settings!$A$2:$F$5,4,FALSE)/100+VLOOKUP(C181,Settings!$A$2:$F$5,5,FALSE)+VLOOKUP(C181,Settings!$A$2:$F$5,6,FALSE),0))</f>
        <v/>
      </c>
      <c r="J181" s="3">
        <f>IF(B181="","",IF(ISNA(MATCH(B181,Inventory!$A$2:$A$201,0)),"Check product",E181*D181+F181-I181-G181-H181))</f>
        <v/>
      </c>
      <c r="K181" s="4">
        <f>IF(OR(B181="",NOT(ISNUMBER(J181)),E181*D181+F181=0),"",J181/(E181*D181+F181))</f>
        <v/>
      </c>
    </row>
    <row r="182">
      <c r="A182" s="8" t="n"/>
      <c r="B182" s="6" t="n"/>
      <c r="C182" s="6" t="n"/>
      <c r="D182" s="6" t="n"/>
      <c r="E182" s="7" t="n"/>
      <c r="F182" s="7" t="n"/>
      <c r="G182" s="7" t="n"/>
      <c r="H182" s="3">
        <f>IFERROR(VLOOKUP(B182,Inventory!$A:$B,2,FALSE)*D182,0)</f>
        <v/>
      </c>
      <c r="I182" s="3">
        <f>IF(C182="",0,IFERROR(VLOOKUP(C182,Settings!$A$2:$F$5,2,FALSE)+(E182*D182+F182)*VLOOKUP(C182,Settings!$A$2:$F$5,3,FALSE)/100+(E182*D182+F182)*VLOOKUP(C182,Settings!$A$2:$F$5,4,FALSE)/100+VLOOKUP(C182,Settings!$A$2:$F$5,5,FALSE)+VLOOKUP(C182,Settings!$A$2:$F$5,6,FALSE),0))</f>
        <v/>
      </c>
      <c r="J182" s="3">
        <f>IF(B182="","",IF(ISNA(MATCH(B182,Inventory!$A$2:$A$201,0)),"Check product",E182*D182+F182-I182-G182-H182))</f>
        <v/>
      </c>
      <c r="K182" s="4">
        <f>IF(OR(B182="",NOT(ISNUMBER(J182)),E182*D182+F182=0),"",J182/(E182*D182+F182))</f>
        <v/>
      </c>
    </row>
    <row r="183">
      <c r="A183" s="8" t="n"/>
      <c r="B183" s="6" t="n"/>
      <c r="C183" s="6" t="n"/>
      <c r="D183" s="6" t="n"/>
      <c r="E183" s="7" t="n"/>
      <c r="F183" s="7" t="n"/>
      <c r="G183" s="7" t="n"/>
      <c r="H183" s="3">
        <f>IFERROR(VLOOKUP(B183,Inventory!$A:$B,2,FALSE)*D183,0)</f>
        <v/>
      </c>
      <c r="I183" s="3">
        <f>IF(C183="",0,IFERROR(VLOOKUP(C183,Settings!$A$2:$F$5,2,FALSE)+(E183*D183+F183)*VLOOKUP(C183,Settings!$A$2:$F$5,3,FALSE)/100+(E183*D183+F183)*VLOOKUP(C183,Settings!$A$2:$F$5,4,FALSE)/100+VLOOKUP(C183,Settings!$A$2:$F$5,5,FALSE)+VLOOKUP(C183,Settings!$A$2:$F$5,6,FALSE),0))</f>
        <v/>
      </c>
      <c r="J183" s="3">
        <f>IF(B183="","",IF(ISNA(MATCH(B183,Inventory!$A$2:$A$201,0)),"Check product",E183*D183+F183-I183-G183-H183))</f>
        <v/>
      </c>
      <c r="K183" s="4">
        <f>IF(OR(B183="",NOT(ISNUMBER(J183)),E183*D183+F183=0),"",J183/(E183*D183+F183))</f>
        <v/>
      </c>
    </row>
    <row r="184">
      <c r="A184" s="8" t="n"/>
      <c r="B184" s="6" t="n"/>
      <c r="C184" s="6" t="n"/>
      <c r="D184" s="6" t="n"/>
      <c r="E184" s="7" t="n"/>
      <c r="F184" s="7" t="n"/>
      <c r="G184" s="7" t="n"/>
      <c r="H184" s="3">
        <f>IFERROR(VLOOKUP(B184,Inventory!$A:$B,2,FALSE)*D184,0)</f>
        <v/>
      </c>
      <c r="I184" s="3">
        <f>IF(C184="",0,IFERROR(VLOOKUP(C184,Settings!$A$2:$F$5,2,FALSE)+(E184*D184+F184)*VLOOKUP(C184,Settings!$A$2:$F$5,3,FALSE)/100+(E184*D184+F184)*VLOOKUP(C184,Settings!$A$2:$F$5,4,FALSE)/100+VLOOKUP(C184,Settings!$A$2:$F$5,5,FALSE)+VLOOKUP(C184,Settings!$A$2:$F$5,6,FALSE),0))</f>
        <v/>
      </c>
      <c r="J184" s="3">
        <f>IF(B184="","",IF(ISNA(MATCH(B184,Inventory!$A$2:$A$201,0)),"Check product",E184*D184+F184-I184-G184-H184))</f>
        <v/>
      </c>
      <c r="K184" s="4">
        <f>IF(OR(B184="",NOT(ISNUMBER(J184)),E184*D184+F184=0),"",J184/(E184*D184+F184))</f>
        <v/>
      </c>
    </row>
    <row r="185">
      <c r="A185" s="8" t="n"/>
      <c r="B185" s="6" t="n"/>
      <c r="C185" s="6" t="n"/>
      <c r="D185" s="6" t="n"/>
      <c r="E185" s="7" t="n"/>
      <c r="F185" s="7" t="n"/>
      <c r="G185" s="7" t="n"/>
      <c r="H185" s="3">
        <f>IFERROR(VLOOKUP(B185,Inventory!$A:$B,2,FALSE)*D185,0)</f>
        <v/>
      </c>
      <c r="I185" s="3">
        <f>IF(C185="",0,IFERROR(VLOOKUP(C185,Settings!$A$2:$F$5,2,FALSE)+(E185*D185+F185)*VLOOKUP(C185,Settings!$A$2:$F$5,3,FALSE)/100+(E185*D185+F185)*VLOOKUP(C185,Settings!$A$2:$F$5,4,FALSE)/100+VLOOKUP(C185,Settings!$A$2:$F$5,5,FALSE)+VLOOKUP(C185,Settings!$A$2:$F$5,6,FALSE),0))</f>
        <v/>
      </c>
      <c r="J185" s="3">
        <f>IF(B185="","",IF(ISNA(MATCH(B185,Inventory!$A$2:$A$201,0)),"Check product",E185*D185+F185-I185-G185-H185))</f>
        <v/>
      </c>
      <c r="K185" s="4">
        <f>IF(OR(B185="",NOT(ISNUMBER(J185)),E185*D185+F185=0),"",J185/(E185*D185+F185))</f>
        <v/>
      </c>
    </row>
    <row r="186">
      <c r="A186" s="8" t="n"/>
      <c r="B186" s="6" t="n"/>
      <c r="C186" s="6" t="n"/>
      <c r="D186" s="6" t="n"/>
      <c r="E186" s="7" t="n"/>
      <c r="F186" s="7" t="n"/>
      <c r="G186" s="7" t="n"/>
      <c r="H186" s="3">
        <f>IFERROR(VLOOKUP(B186,Inventory!$A:$B,2,FALSE)*D186,0)</f>
        <v/>
      </c>
      <c r="I186" s="3">
        <f>IF(C186="",0,IFERROR(VLOOKUP(C186,Settings!$A$2:$F$5,2,FALSE)+(E186*D186+F186)*VLOOKUP(C186,Settings!$A$2:$F$5,3,FALSE)/100+(E186*D186+F186)*VLOOKUP(C186,Settings!$A$2:$F$5,4,FALSE)/100+VLOOKUP(C186,Settings!$A$2:$F$5,5,FALSE)+VLOOKUP(C186,Settings!$A$2:$F$5,6,FALSE),0))</f>
        <v/>
      </c>
      <c r="J186" s="3">
        <f>IF(B186="","",IF(ISNA(MATCH(B186,Inventory!$A$2:$A$201,0)),"Check product",E186*D186+F186-I186-G186-H186))</f>
        <v/>
      </c>
      <c r="K186" s="4">
        <f>IF(OR(B186="",NOT(ISNUMBER(J186)),E186*D186+F186=0),"",J186/(E186*D186+F186))</f>
        <v/>
      </c>
    </row>
    <row r="187">
      <c r="A187" s="8" t="n"/>
      <c r="B187" s="6" t="n"/>
      <c r="C187" s="6" t="n"/>
      <c r="D187" s="6" t="n"/>
      <c r="E187" s="7" t="n"/>
      <c r="F187" s="7" t="n"/>
      <c r="G187" s="7" t="n"/>
      <c r="H187" s="3">
        <f>IFERROR(VLOOKUP(B187,Inventory!$A:$B,2,FALSE)*D187,0)</f>
        <v/>
      </c>
      <c r="I187" s="3">
        <f>IF(C187="",0,IFERROR(VLOOKUP(C187,Settings!$A$2:$F$5,2,FALSE)+(E187*D187+F187)*VLOOKUP(C187,Settings!$A$2:$F$5,3,FALSE)/100+(E187*D187+F187)*VLOOKUP(C187,Settings!$A$2:$F$5,4,FALSE)/100+VLOOKUP(C187,Settings!$A$2:$F$5,5,FALSE)+VLOOKUP(C187,Settings!$A$2:$F$5,6,FALSE),0))</f>
        <v/>
      </c>
      <c r="J187" s="3">
        <f>IF(B187="","",IF(ISNA(MATCH(B187,Inventory!$A$2:$A$201,0)),"Check product",E187*D187+F187-I187-G187-H187))</f>
        <v/>
      </c>
      <c r="K187" s="4">
        <f>IF(OR(B187="",NOT(ISNUMBER(J187)),E187*D187+F187=0),"",J187/(E187*D187+F187))</f>
        <v/>
      </c>
    </row>
    <row r="188">
      <c r="A188" s="8" t="n"/>
      <c r="B188" s="6" t="n"/>
      <c r="C188" s="6" t="n"/>
      <c r="D188" s="6" t="n"/>
      <c r="E188" s="7" t="n"/>
      <c r="F188" s="7" t="n"/>
      <c r="G188" s="7" t="n"/>
      <c r="H188" s="3">
        <f>IFERROR(VLOOKUP(B188,Inventory!$A:$B,2,FALSE)*D188,0)</f>
        <v/>
      </c>
      <c r="I188" s="3">
        <f>IF(C188="",0,IFERROR(VLOOKUP(C188,Settings!$A$2:$F$5,2,FALSE)+(E188*D188+F188)*VLOOKUP(C188,Settings!$A$2:$F$5,3,FALSE)/100+(E188*D188+F188)*VLOOKUP(C188,Settings!$A$2:$F$5,4,FALSE)/100+VLOOKUP(C188,Settings!$A$2:$F$5,5,FALSE)+VLOOKUP(C188,Settings!$A$2:$F$5,6,FALSE),0))</f>
        <v/>
      </c>
      <c r="J188" s="3">
        <f>IF(B188="","",IF(ISNA(MATCH(B188,Inventory!$A$2:$A$201,0)),"Check product",E188*D188+F188-I188-G188-H188))</f>
        <v/>
      </c>
      <c r="K188" s="4">
        <f>IF(OR(B188="",NOT(ISNUMBER(J188)),E188*D188+F188=0),"",J188/(E188*D188+F188))</f>
        <v/>
      </c>
    </row>
    <row r="189">
      <c r="A189" s="8" t="n"/>
      <c r="B189" s="6" t="n"/>
      <c r="C189" s="6" t="n"/>
      <c r="D189" s="6" t="n"/>
      <c r="E189" s="7" t="n"/>
      <c r="F189" s="7" t="n"/>
      <c r="G189" s="7" t="n"/>
      <c r="H189" s="3">
        <f>IFERROR(VLOOKUP(B189,Inventory!$A:$B,2,FALSE)*D189,0)</f>
        <v/>
      </c>
      <c r="I189" s="3">
        <f>IF(C189="",0,IFERROR(VLOOKUP(C189,Settings!$A$2:$F$5,2,FALSE)+(E189*D189+F189)*VLOOKUP(C189,Settings!$A$2:$F$5,3,FALSE)/100+(E189*D189+F189)*VLOOKUP(C189,Settings!$A$2:$F$5,4,FALSE)/100+VLOOKUP(C189,Settings!$A$2:$F$5,5,FALSE)+VLOOKUP(C189,Settings!$A$2:$F$5,6,FALSE),0))</f>
        <v/>
      </c>
      <c r="J189" s="3">
        <f>IF(B189="","",IF(ISNA(MATCH(B189,Inventory!$A$2:$A$201,0)),"Check product",E189*D189+F189-I189-G189-H189))</f>
        <v/>
      </c>
      <c r="K189" s="4">
        <f>IF(OR(B189="",NOT(ISNUMBER(J189)),E189*D189+F189=0),"",J189/(E189*D189+F189))</f>
        <v/>
      </c>
    </row>
    <row r="190">
      <c r="A190" s="8" t="n"/>
      <c r="B190" s="6" t="n"/>
      <c r="C190" s="6" t="n"/>
      <c r="D190" s="6" t="n"/>
      <c r="E190" s="7" t="n"/>
      <c r="F190" s="7" t="n"/>
      <c r="G190" s="7" t="n"/>
      <c r="H190" s="3">
        <f>IFERROR(VLOOKUP(B190,Inventory!$A:$B,2,FALSE)*D190,0)</f>
        <v/>
      </c>
      <c r="I190" s="3">
        <f>IF(C190="",0,IFERROR(VLOOKUP(C190,Settings!$A$2:$F$5,2,FALSE)+(E190*D190+F190)*VLOOKUP(C190,Settings!$A$2:$F$5,3,FALSE)/100+(E190*D190+F190)*VLOOKUP(C190,Settings!$A$2:$F$5,4,FALSE)/100+VLOOKUP(C190,Settings!$A$2:$F$5,5,FALSE)+VLOOKUP(C190,Settings!$A$2:$F$5,6,FALSE),0))</f>
        <v/>
      </c>
      <c r="J190" s="3">
        <f>IF(B190="","",IF(ISNA(MATCH(B190,Inventory!$A$2:$A$201,0)),"Check product",E190*D190+F190-I190-G190-H190))</f>
        <v/>
      </c>
      <c r="K190" s="4">
        <f>IF(OR(B190="",NOT(ISNUMBER(J190)),E190*D190+F190=0),"",J190/(E190*D190+F190))</f>
        <v/>
      </c>
    </row>
    <row r="191">
      <c r="A191" s="8" t="n"/>
      <c r="B191" s="6" t="n"/>
      <c r="C191" s="6" t="n"/>
      <c r="D191" s="6" t="n"/>
      <c r="E191" s="7" t="n"/>
      <c r="F191" s="7" t="n"/>
      <c r="G191" s="7" t="n"/>
      <c r="H191" s="3">
        <f>IFERROR(VLOOKUP(B191,Inventory!$A:$B,2,FALSE)*D191,0)</f>
        <v/>
      </c>
      <c r="I191" s="3">
        <f>IF(C191="",0,IFERROR(VLOOKUP(C191,Settings!$A$2:$F$5,2,FALSE)+(E191*D191+F191)*VLOOKUP(C191,Settings!$A$2:$F$5,3,FALSE)/100+(E191*D191+F191)*VLOOKUP(C191,Settings!$A$2:$F$5,4,FALSE)/100+VLOOKUP(C191,Settings!$A$2:$F$5,5,FALSE)+VLOOKUP(C191,Settings!$A$2:$F$5,6,FALSE),0))</f>
        <v/>
      </c>
      <c r="J191" s="3">
        <f>IF(B191="","",IF(ISNA(MATCH(B191,Inventory!$A$2:$A$201,0)),"Check product",E191*D191+F191-I191-G191-H191))</f>
        <v/>
      </c>
      <c r="K191" s="4">
        <f>IF(OR(B191="",NOT(ISNUMBER(J191)),E191*D191+F191=0),"",J191/(E191*D191+F191))</f>
        <v/>
      </c>
    </row>
    <row r="192">
      <c r="A192" s="8" t="n"/>
      <c r="B192" s="6" t="n"/>
      <c r="C192" s="6" t="n"/>
      <c r="D192" s="6" t="n"/>
      <c r="E192" s="7" t="n"/>
      <c r="F192" s="7" t="n"/>
      <c r="G192" s="7" t="n"/>
      <c r="H192" s="3">
        <f>IFERROR(VLOOKUP(B192,Inventory!$A:$B,2,FALSE)*D192,0)</f>
        <v/>
      </c>
      <c r="I192" s="3">
        <f>IF(C192="",0,IFERROR(VLOOKUP(C192,Settings!$A$2:$F$5,2,FALSE)+(E192*D192+F192)*VLOOKUP(C192,Settings!$A$2:$F$5,3,FALSE)/100+(E192*D192+F192)*VLOOKUP(C192,Settings!$A$2:$F$5,4,FALSE)/100+VLOOKUP(C192,Settings!$A$2:$F$5,5,FALSE)+VLOOKUP(C192,Settings!$A$2:$F$5,6,FALSE),0))</f>
        <v/>
      </c>
      <c r="J192" s="3">
        <f>IF(B192="","",IF(ISNA(MATCH(B192,Inventory!$A$2:$A$201,0)),"Check product",E192*D192+F192-I192-G192-H192))</f>
        <v/>
      </c>
      <c r="K192" s="4">
        <f>IF(OR(B192="",NOT(ISNUMBER(J192)),E192*D192+F192=0),"",J192/(E192*D192+F192))</f>
        <v/>
      </c>
    </row>
    <row r="193">
      <c r="A193" s="8" t="n"/>
      <c r="B193" s="6" t="n"/>
      <c r="C193" s="6" t="n"/>
      <c r="D193" s="6" t="n"/>
      <c r="E193" s="7" t="n"/>
      <c r="F193" s="7" t="n"/>
      <c r="G193" s="7" t="n"/>
      <c r="H193" s="3">
        <f>IFERROR(VLOOKUP(B193,Inventory!$A:$B,2,FALSE)*D193,0)</f>
        <v/>
      </c>
      <c r="I193" s="3">
        <f>IF(C193="",0,IFERROR(VLOOKUP(C193,Settings!$A$2:$F$5,2,FALSE)+(E193*D193+F193)*VLOOKUP(C193,Settings!$A$2:$F$5,3,FALSE)/100+(E193*D193+F193)*VLOOKUP(C193,Settings!$A$2:$F$5,4,FALSE)/100+VLOOKUP(C193,Settings!$A$2:$F$5,5,FALSE)+VLOOKUP(C193,Settings!$A$2:$F$5,6,FALSE),0))</f>
        <v/>
      </c>
      <c r="J193" s="3">
        <f>IF(B193="","",IF(ISNA(MATCH(B193,Inventory!$A$2:$A$201,0)),"Check product",E193*D193+F193-I193-G193-H193))</f>
        <v/>
      </c>
      <c r="K193" s="4">
        <f>IF(OR(B193="",NOT(ISNUMBER(J193)),E193*D193+F193=0),"",J193/(E193*D193+F193))</f>
        <v/>
      </c>
    </row>
    <row r="194">
      <c r="A194" s="8" t="n"/>
      <c r="B194" s="6" t="n"/>
      <c r="C194" s="6" t="n"/>
      <c r="D194" s="6" t="n"/>
      <c r="E194" s="7" t="n"/>
      <c r="F194" s="7" t="n"/>
      <c r="G194" s="7" t="n"/>
      <c r="H194" s="3">
        <f>IFERROR(VLOOKUP(B194,Inventory!$A:$B,2,FALSE)*D194,0)</f>
        <v/>
      </c>
      <c r="I194" s="3">
        <f>IF(C194="",0,IFERROR(VLOOKUP(C194,Settings!$A$2:$F$5,2,FALSE)+(E194*D194+F194)*VLOOKUP(C194,Settings!$A$2:$F$5,3,FALSE)/100+(E194*D194+F194)*VLOOKUP(C194,Settings!$A$2:$F$5,4,FALSE)/100+VLOOKUP(C194,Settings!$A$2:$F$5,5,FALSE)+VLOOKUP(C194,Settings!$A$2:$F$5,6,FALSE),0))</f>
        <v/>
      </c>
      <c r="J194" s="3">
        <f>IF(B194="","",IF(ISNA(MATCH(B194,Inventory!$A$2:$A$201,0)),"Check product",E194*D194+F194-I194-G194-H194))</f>
        <v/>
      </c>
      <c r="K194" s="4">
        <f>IF(OR(B194="",NOT(ISNUMBER(J194)),E194*D194+F194=0),"",J194/(E194*D194+F194))</f>
        <v/>
      </c>
    </row>
    <row r="195">
      <c r="A195" s="8" t="n"/>
      <c r="B195" s="6" t="n"/>
      <c r="C195" s="6" t="n"/>
      <c r="D195" s="6" t="n"/>
      <c r="E195" s="7" t="n"/>
      <c r="F195" s="7" t="n"/>
      <c r="G195" s="7" t="n"/>
      <c r="H195" s="3">
        <f>IFERROR(VLOOKUP(B195,Inventory!$A:$B,2,FALSE)*D195,0)</f>
        <v/>
      </c>
      <c r="I195" s="3">
        <f>IF(C195="",0,IFERROR(VLOOKUP(C195,Settings!$A$2:$F$5,2,FALSE)+(E195*D195+F195)*VLOOKUP(C195,Settings!$A$2:$F$5,3,FALSE)/100+(E195*D195+F195)*VLOOKUP(C195,Settings!$A$2:$F$5,4,FALSE)/100+VLOOKUP(C195,Settings!$A$2:$F$5,5,FALSE)+VLOOKUP(C195,Settings!$A$2:$F$5,6,FALSE),0))</f>
        <v/>
      </c>
      <c r="J195" s="3">
        <f>IF(B195="","",IF(ISNA(MATCH(B195,Inventory!$A$2:$A$201,0)),"Check product",E195*D195+F195-I195-G195-H195))</f>
        <v/>
      </c>
      <c r="K195" s="4">
        <f>IF(OR(B195="",NOT(ISNUMBER(J195)),E195*D195+F195=0),"",J195/(E195*D195+F195))</f>
        <v/>
      </c>
    </row>
    <row r="196">
      <c r="A196" s="8" t="n"/>
      <c r="B196" s="6" t="n"/>
      <c r="C196" s="6" t="n"/>
      <c r="D196" s="6" t="n"/>
      <c r="E196" s="7" t="n"/>
      <c r="F196" s="7" t="n"/>
      <c r="G196" s="7" t="n"/>
      <c r="H196" s="3">
        <f>IFERROR(VLOOKUP(B196,Inventory!$A:$B,2,FALSE)*D196,0)</f>
        <v/>
      </c>
      <c r="I196" s="3">
        <f>IF(C196="",0,IFERROR(VLOOKUP(C196,Settings!$A$2:$F$5,2,FALSE)+(E196*D196+F196)*VLOOKUP(C196,Settings!$A$2:$F$5,3,FALSE)/100+(E196*D196+F196)*VLOOKUP(C196,Settings!$A$2:$F$5,4,FALSE)/100+VLOOKUP(C196,Settings!$A$2:$F$5,5,FALSE)+VLOOKUP(C196,Settings!$A$2:$F$5,6,FALSE),0))</f>
        <v/>
      </c>
      <c r="J196" s="3">
        <f>IF(B196="","",IF(ISNA(MATCH(B196,Inventory!$A$2:$A$201,0)),"Check product",E196*D196+F196-I196-G196-H196))</f>
        <v/>
      </c>
      <c r="K196" s="4">
        <f>IF(OR(B196="",NOT(ISNUMBER(J196)),E196*D196+F196=0),"",J196/(E196*D196+F196))</f>
        <v/>
      </c>
    </row>
    <row r="197">
      <c r="A197" s="8" t="n"/>
      <c r="B197" s="6" t="n"/>
      <c r="C197" s="6" t="n"/>
      <c r="D197" s="6" t="n"/>
      <c r="E197" s="7" t="n"/>
      <c r="F197" s="7" t="n"/>
      <c r="G197" s="7" t="n"/>
      <c r="H197" s="3">
        <f>IFERROR(VLOOKUP(B197,Inventory!$A:$B,2,FALSE)*D197,0)</f>
        <v/>
      </c>
      <c r="I197" s="3">
        <f>IF(C197="",0,IFERROR(VLOOKUP(C197,Settings!$A$2:$F$5,2,FALSE)+(E197*D197+F197)*VLOOKUP(C197,Settings!$A$2:$F$5,3,FALSE)/100+(E197*D197+F197)*VLOOKUP(C197,Settings!$A$2:$F$5,4,FALSE)/100+VLOOKUP(C197,Settings!$A$2:$F$5,5,FALSE)+VLOOKUP(C197,Settings!$A$2:$F$5,6,FALSE),0))</f>
        <v/>
      </c>
      <c r="J197" s="3">
        <f>IF(B197="","",IF(ISNA(MATCH(B197,Inventory!$A$2:$A$201,0)),"Check product",E197*D197+F197-I197-G197-H197))</f>
        <v/>
      </c>
      <c r="K197" s="4">
        <f>IF(OR(B197="",NOT(ISNUMBER(J197)),E197*D197+F197=0),"",J197/(E197*D197+F197))</f>
        <v/>
      </c>
    </row>
    <row r="198">
      <c r="A198" s="8" t="n"/>
      <c r="B198" s="6" t="n"/>
      <c r="C198" s="6" t="n"/>
      <c r="D198" s="6" t="n"/>
      <c r="E198" s="7" t="n"/>
      <c r="F198" s="7" t="n"/>
      <c r="G198" s="7" t="n"/>
      <c r="H198" s="3">
        <f>IFERROR(VLOOKUP(B198,Inventory!$A:$B,2,FALSE)*D198,0)</f>
        <v/>
      </c>
      <c r="I198" s="3">
        <f>IF(C198="",0,IFERROR(VLOOKUP(C198,Settings!$A$2:$F$5,2,FALSE)+(E198*D198+F198)*VLOOKUP(C198,Settings!$A$2:$F$5,3,FALSE)/100+(E198*D198+F198)*VLOOKUP(C198,Settings!$A$2:$F$5,4,FALSE)/100+VLOOKUP(C198,Settings!$A$2:$F$5,5,FALSE)+VLOOKUP(C198,Settings!$A$2:$F$5,6,FALSE),0))</f>
        <v/>
      </c>
      <c r="J198" s="3">
        <f>IF(B198="","",IF(ISNA(MATCH(B198,Inventory!$A$2:$A$201,0)),"Check product",E198*D198+F198-I198-G198-H198))</f>
        <v/>
      </c>
      <c r="K198" s="4">
        <f>IF(OR(B198="",NOT(ISNUMBER(J198)),E198*D198+F198=0),"",J198/(E198*D198+F198))</f>
        <v/>
      </c>
    </row>
    <row r="199">
      <c r="A199" s="8" t="n"/>
      <c r="B199" s="6" t="n"/>
      <c r="C199" s="6" t="n"/>
      <c r="D199" s="6" t="n"/>
      <c r="E199" s="7" t="n"/>
      <c r="F199" s="7" t="n"/>
      <c r="G199" s="7" t="n"/>
      <c r="H199" s="3">
        <f>IFERROR(VLOOKUP(B199,Inventory!$A:$B,2,FALSE)*D199,0)</f>
        <v/>
      </c>
      <c r="I199" s="3">
        <f>IF(C199="",0,IFERROR(VLOOKUP(C199,Settings!$A$2:$F$5,2,FALSE)+(E199*D199+F199)*VLOOKUP(C199,Settings!$A$2:$F$5,3,FALSE)/100+(E199*D199+F199)*VLOOKUP(C199,Settings!$A$2:$F$5,4,FALSE)/100+VLOOKUP(C199,Settings!$A$2:$F$5,5,FALSE)+VLOOKUP(C199,Settings!$A$2:$F$5,6,FALSE),0))</f>
        <v/>
      </c>
      <c r="J199" s="3">
        <f>IF(B199="","",IF(ISNA(MATCH(B199,Inventory!$A$2:$A$201,0)),"Check product",E199*D199+F199-I199-G199-H199))</f>
        <v/>
      </c>
      <c r="K199" s="4">
        <f>IF(OR(B199="",NOT(ISNUMBER(J199)),E199*D199+F199=0),"",J199/(E199*D199+F199))</f>
        <v/>
      </c>
    </row>
    <row r="200">
      <c r="A200" s="8" t="n"/>
      <c r="B200" s="6" t="n"/>
      <c r="C200" s="6" t="n"/>
      <c r="D200" s="6" t="n"/>
      <c r="E200" s="7" t="n"/>
      <c r="F200" s="7" t="n"/>
      <c r="G200" s="7" t="n"/>
      <c r="H200" s="3">
        <f>IFERROR(VLOOKUP(B200,Inventory!$A:$B,2,FALSE)*D200,0)</f>
        <v/>
      </c>
      <c r="I200" s="3">
        <f>IF(C200="",0,IFERROR(VLOOKUP(C200,Settings!$A$2:$F$5,2,FALSE)+(E200*D200+F200)*VLOOKUP(C200,Settings!$A$2:$F$5,3,FALSE)/100+(E200*D200+F200)*VLOOKUP(C200,Settings!$A$2:$F$5,4,FALSE)/100+VLOOKUP(C200,Settings!$A$2:$F$5,5,FALSE)+VLOOKUP(C200,Settings!$A$2:$F$5,6,FALSE),0))</f>
        <v/>
      </c>
      <c r="J200" s="3">
        <f>IF(B200="","",IF(ISNA(MATCH(B200,Inventory!$A$2:$A$201,0)),"Check product",E200*D200+F200-I200-G200-H200))</f>
        <v/>
      </c>
      <c r="K200" s="4">
        <f>IF(OR(B200="",NOT(ISNUMBER(J200)),E200*D200+F200=0),"",J200/(E200*D200+F200))</f>
        <v/>
      </c>
    </row>
    <row r="201">
      <c r="A201" s="8" t="n"/>
      <c r="B201" s="6" t="n"/>
      <c r="C201" s="6" t="n"/>
      <c r="D201" s="6" t="n"/>
      <c r="E201" s="7" t="n"/>
      <c r="F201" s="7" t="n"/>
      <c r="G201" s="7" t="n"/>
      <c r="H201" s="3">
        <f>IFERROR(VLOOKUP(B201,Inventory!$A:$B,2,FALSE)*D201,0)</f>
        <v/>
      </c>
      <c r="I201" s="3">
        <f>IF(C201="",0,IFERROR(VLOOKUP(C201,Settings!$A$2:$F$5,2,FALSE)+(E201*D201+F201)*VLOOKUP(C201,Settings!$A$2:$F$5,3,FALSE)/100+(E201*D201+F201)*VLOOKUP(C201,Settings!$A$2:$F$5,4,FALSE)/100+VLOOKUP(C201,Settings!$A$2:$F$5,5,FALSE)+VLOOKUP(C201,Settings!$A$2:$F$5,6,FALSE),0))</f>
        <v/>
      </c>
      <c r="J201" s="3">
        <f>IF(B201="","",IF(ISNA(MATCH(B201,Inventory!$A$2:$A$201,0)),"Check product",E201*D201+F201-I201-G201-H201))</f>
        <v/>
      </c>
      <c r="K201" s="4">
        <f>IF(OR(B201="",NOT(ISNUMBER(J201)),E201*D201+F201=0),"",J201/(E201*D201+F201))</f>
        <v/>
      </c>
    </row>
    <row r="202">
      <c r="A202" s="8" t="n"/>
      <c r="B202" s="6" t="n"/>
      <c r="C202" s="6" t="n"/>
      <c r="D202" s="6" t="n"/>
      <c r="E202" s="7" t="n"/>
      <c r="F202" s="7" t="n"/>
      <c r="G202" s="7" t="n"/>
      <c r="H202" s="3">
        <f>IFERROR(VLOOKUP(B202,Inventory!$A:$B,2,FALSE)*D202,0)</f>
        <v/>
      </c>
      <c r="I202" s="3">
        <f>IF(C202="",0,IFERROR(VLOOKUP(C202,Settings!$A$2:$F$5,2,FALSE)+(E202*D202+F202)*VLOOKUP(C202,Settings!$A$2:$F$5,3,FALSE)/100+(E202*D202+F202)*VLOOKUP(C202,Settings!$A$2:$F$5,4,FALSE)/100+VLOOKUP(C202,Settings!$A$2:$F$5,5,FALSE)+VLOOKUP(C202,Settings!$A$2:$F$5,6,FALSE),0))</f>
        <v/>
      </c>
      <c r="J202" s="3">
        <f>IF(B202="","",IF(ISNA(MATCH(B202,Inventory!$A$2:$A$201,0)),"Check product",E202*D202+F202-I202-G202-H202))</f>
        <v/>
      </c>
      <c r="K202" s="4">
        <f>IF(OR(B202="",NOT(ISNUMBER(J202)),E202*D202+F202=0),"",J202/(E202*D202+F202))</f>
        <v/>
      </c>
    </row>
    <row r="203">
      <c r="A203" s="8" t="n"/>
      <c r="B203" s="6" t="n"/>
      <c r="C203" s="6" t="n"/>
      <c r="D203" s="6" t="n"/>
      <c r="E203" s="7" t="n"/>
      <c r="F203" s="7" t="n"/>
      <c r="G203" s="7" t="n"/>
      <c r="H203" s="3">
        <f>IFERROR(VLOOKUP(B203,Inventory!$A:$B,2,FALSE)*D203,0)</f>
        <v/>
      </c>
      <c r="I203" s="3">
        <f>IF(C203="",0,IFERROR(VLOOKUP(C203,Settings!$A$2:$F$5,2,FALSE)+(E203*D203+F203)*VLOOKUP(C203,Settings!$A$2:$F$5,3,FALSE)/100+(E203*D203+F203)*VLOOKUP(C203,Settings!$A$2:$F$5,4,FALSE)/100+VLOOKUP(C203,Settings!$A$2:$F$5,5,FALSE)+VLOOKUP(C203,Settings!$A$2:$F$5,6,FALSE),0))</f>
        <v/>
      </c>
      <c r="J203" s="3">
        <f>IF(B203="","",IF(ISNA(MATCH(B203,Inventory!$A$2:$A$201,0)),"Check product",E203*D203+F203-I203-G203-H203))</f>
        <v/>
      </c>
      <c r="K203" s="4">
        <f>IF(OR(B203="",NOT(ISNUMBER(J203)),E203*D203+F203=0),"",J203/(E203*D203+F203))</f>
        <v/>
      </c>
    </row>
    <row r="204">
      <c r="A204" s="8" t="n"/>
      <c r="B204" s="6" t="n"/>
      <c r="C204" s="6" t="n"/>
      <c r="D204" s="6" t="n"/>
      <c r="E204" s="7" t="n"/>
      <c r="F204" s="7" t="n"/>
      <c r="G204" s="7" t="n"/>
      <c r="H204" s="3">
        <f>IFERROR(VLOOKUP(B204,Inventory!$A:$B,2,FALSE)*D204,0)</f>
        <v/>
      </c>
      <c r="I204" s="3">
        <f>IF(C204="",0,IFERROR(VLOOKUP(C204,Settings!$A$2:$F$5,2,FALSE)+(E204*D204+F204)*VLOOKUP(C204,Settings!$A$2:$F$5,3,FALSE)/100+(E204*D204+F204)*VLOOKUP(C204,Settings!$A$2:$F$5,4,FALSE)/100+VLOOKUP(C204,Settings!$A$2:$F$5,5,FALSE)+VLOOKUP(C204,Settings!$A$2:$F$5,6,FALSE),0))</f>
        <v/>
      </c>
      <c r="J204" s="3">
        <f>IF(B204="","",IF(ISNA(MATCH(B204,Inventory!$A$2:$A$201,0)),"Check product",E204*D204+F204-I204-G204-H204))</f>
        <v/>
      </c>
      <c r="K204" s="4">
        <f>IF(OR(B204="",NOT(ISNUMBER(J204)),E204*D204+F204=0),"",J204/(E204*D204+F204))</f>
        <v/>
      </c>
    </row>
    <row r="205">
      <c r="A205" s="8" t="n"/>
      <c r="B205" s="6" t="n"/>
      <c r="C205" s="6" t="n"/>
      <c r="D205" s="6" t="n"/>
      <c r="E205" s="7" t="n"/>
      <c r="F205" s="7" t="n"/>
      <c r="G205" s="7" t="n"/>
      <c r="H205" s="3">
        <f>IFERROR(VLOOKUP(B205,Inventory!$A:$B,2,FALSE)*D205,0)</f>
        <v/>
      </c>
      <c r="I205" s="3">
        <f>IF(C205="",0,IFERROR(VLOOKUP(C205,Settings!$A$2:$F$5,2,FALSE)+(E205*D205+F205)*VLOOKUP(C205,Settings!$A$2:$F$5,3,FALSE)/100+(E205*D205+F205)*VLOOKUP(C205,Settings!$A$2:$F$5,4,FALSE)/100+VLOOKUP(C205,Settings!$A$2:$F$5,5,FALSE)+VLOOKUP(C205,Settings!$A$2:$F$5,6,FALSE),0))</f>
        <v/>
      </c>
      <c r="J205" s="3">
        <f>IF(B205="","",IF(ISNA(MATCH(B205,Inventory!$A$2:$A$201,0)),"Check product",E205*D205+F205-I205-G205-H205))</f>
        <v/>
      </c>
      <c r="K205" s="4">
        <f>IF(OR(B205="",NOT(ISNUMBER(J205)),E205*D205+F205=0),"",J205/(E205*D205+F205))</f>
        <v/>
      </c>
    </row>
    <row r="206">
      <c r="A206" s="8" t="n"/>
      <c r="B206" s="6" t="n"/>
      <c r="C206" s="6" t="n"/>
      <c r="D206" s="6" t="n"/>
      <c r="E206" s="7" t="n"/>
      <c r="F206" s="7" t="n"/>
      <c r="G206" s="7" t="n"/>
      <c r="H206" s="3">
        <f>IFERROR(VLOOKUP(B206,Inventory!$A:$B,2,FALSE)*D206,0)</f>
        <v/>
      </c>
      <c r="I206" s="3">
        <f>IF(C206="",0,IFERROR(VLOOKUP(C206,Settings!$A$2:$F$5,2,FALSE)+(E206*D206+F206)*VLOOKUP(C206,Settings!$A$2:$F$5,3,FALSE)/100+(E206*D206+F206)*VLOOKUP(C206,Settings!$A$2:$F$5,4,FALSE)/100+VLOOKUP(C206,Settings!$A$2:$F$5,5,FALSE)+VLOOKUP(C206,Settings!$A$2:$F$5,6,FALSE),0))</f>
        <v/>
      </c>
      <c r="J206" s="3">
        <f>IF(B206="","",IF(ISNA(MATCH(B206,Inventory!$A$2:$A$201,0)),"Check product",E206*D206+F206-I206-G206-H206))</f>
        <v/>
      </c>
      <c r="K206" s="4">
        <f>IF(OR(B206="",NOT(ISNUMBER(J206)),E206*D206+F206=0),"",J206/(E206*D206+F206))</f>
        <v/>
      </c>
    </row>
    <row r="207">
      <c r="A207" s="8" t="n"/>
      <c r="B207" s="6" t="n"/>
      <c r="C207" s="6" t="n"/>
      <c r="D207" s="6" t="n"/>
      <c r="E207" s="7" t="n"/>
      <c r="F207" s="7" t="n"/>
      <c r="G207" s="7" t="n"/>
      <c r="H207" s="3">
        <f>IFERROR(VLOOKUP(B207,Inventory!$A:$B,2,FALSE)*D207,0)</f>
        <v/>
      </c>
      <c r="I207" s="3">
        <f>IF(C207="",0,IFERROR(VLOOKUP(C207,Settings!$A$2:$F$5,2,FALSE)+(E207*D207+F207)*VLOOKUP(C207,Settings!$A$2:$F$5,3,FALSE)/100+(E207*D207+F207)*VLOOKUP(C207,Settings!$A$2:$F$5,4,FALSE)/100+VLOOKUP(C207,Settings!$A$2:$F$5,5,FALSE)+VLOOKUP(C207,Settings!$A$2:$F$5,6,FALSE),0))</f>
        <v/>
      </c>
      <c r="J207" s="3">
        <f>IF(B207="","",IF(ISNA(MATCH(B207,Inventory!$A$2:$A$201,0)),"Check product",E207*D207+F207-I207-G207-H207))</f>
        <v/>
      </c>
      <c r="K207" s="4">
        <f>IF(OR(B207="",NOT(ISNUMBER(J207)),E207*D207+F207=0),"",J207/(E207*D207+F207))</f>
        <v/>
      </c>
    </row>
    <row r="208">
      <c r="A208" s="8" t="n"/>
      <c r="B208" s="6" t="n"/>
      <c r="C208" s="6" t="n"/>
      <c r="D208" s="6" t="n"/>
      <c r="E208" s="7" t="n"/>
      <c r="F208" s="7" t="n"/>
      <c r="G208" s="7" t="n"/>
      <c r="H208" s="3">
        <f>IFERROR(VLOOKUP(B208,Inventory!$A:$B,2,FALSE)*D208,0)</f>
        <v/>
      </c>
      <c r="I208" s="3">
        <f>IF(C208="",0,IFERROR(VLOOKUP(C208,Settings!$A$2:$F$5,2,FALSE)+(E208*D208+F208)*VLOOKUP(C208,Settings!$A$2:$F$5,3,FALSE)/100+(E208*D208+F208)*VLOOKUP(C208,Settings!$A$2:$F$5,4,FALSE)/100+VLOOKUP(C208,Settings!$A$2:$F$5,5,FALSE)+VLOOKUP(C208,Settings!$A$2:$F$5,6,FALSE),0))</f>
        <v/>
      </c>
      <c r="J208" s="3">
        <f>IF(B208="","",IF(ISNA(MATCH(B208,Inventory!$A$2:$A$201,0)),"Check product",E208*D208+F208-I208-G208-H208))</f>
        <v/>
      </c>
      <c r="K208" s="4">
        <f>IF(OR(B208="",NOT(ISNUMBER(J208)),E208*D208+F208=0),"",J208/(E208*D208+F208))</f>
        <v/>
      </c>
    </row>
    <row r="209">
      <c r="A209" s="8" t="n"/>
      <c r="B209" s="6" t="n"/>
      <c r="C209" s="6" t="n"/>
      <c r="D209" s="6" t="n"/>
      <c r="E209" s="7" t="n"/>
      <c r="F209" s="7" t="n"/>
      <c r="G209" s="7" t="n"/>
      <c r="H209" s="3">
        <f>IFERROR(VLOOKUP(B209,Inventory!$A:$B,2,FALSE)*D209,0)</f>
        <v/>
      </c>
      <c r="I209" s="3">
        <f>IF(C209="",0,IFERROR(VLOOKUP(C209,Settings!$A$2:$F$5,2,FALSE)+(E209*D209+F209)*VLOOKUP(C209,Settings!$A$2:$F$5,3,FALSE)/100+(E209*D209+F209)*VLOOKUP(C209,Settings!$A$2:$F$5,4,FALSE)/100+VLOOKUP(C209,Settings!$A$2:$F$5,5,FALSE)+VLOOKUP(C209,Settings!$A$2:$F$5,6,FALSE),0))</f>
        <v/>
      </c>
      <c r="J209" s="3">
        <f>IF(B209="","",IF(ISNA(MATCH(B209,Inventory!$A$2:$A$201,0)),"Check product",E209*D209+F209-I209-G209-H209))</f>
        <v/>
      </c>
      <c r="K209" s="4">
        <f>IF(OR(B209="",NOT(ISNUMBER(J209)),E209*D209+F209=0),"",J209/(E209*D209+F209))</f>
        <v/>
      </c>
    </row>
    <row r="210">
      <c r="A210" s="8" t="n"/>
      <c r="B210" s="6" t="n"/>
      <c r="C210" s="6" t="n"/>
      <c r="D210" s="6" t="n"/>
      <c r="E210" s="7" t="n"/>
      <c r="F210" s="7" t="n"/>
      <c r="G210" s="7" t="n"/>
      <c r="H210" s="3">
        <f>IFERROR(VLOOKUP(B210,Inventory!$A:$B,2,FALSE)*D210,0)</f>
        <v/>
      </c>
      <c r="I210" s="3">
        <f>IF(C210="",0,IFERROR(VLOOKUP(C210,Settings!$A$2:$F$5,2,FALSE)+(E210*D210+F210)*VLOOKUP(C210,Settings!$A$2:$F$5,3,FALSE)/100+(E210*D210+F210)*VLOOKUP(C210,Settings!$A$2:$F$5,4,FALSE)/100+VLOOKUP(C210,Settings!$A$2:$F$5,5,FALSE)+VLOOKUP(C210,Settings!$A$2:$F$5,6,FALSE),0))</f>
        <v/>
      </c>
      <c r="J210" s="3">
        <f>IF(B210="","",IF(ISNA(MATCH(B210,Inventory!$A$2:$A$201,0)),"Check product",E210*D210+F210-I210-G210-H210))</f>
        <v/>
      </c>
      <c r="K210" s="4">
        <f>IF(OR(B210="",NOT(ISNUMBER(J210)),E210*D210+F210=0),"",J210/(E210*D210+F210))</f>
        <v/>
      </c>
    </row>
    <row r="211">
      <c r="A211" s="8" t="n"/>
      <c r="B211" s="6" t="n"/>
      <c r="C211" s="6" t="n"/>
      <c r="D211" s="6" t="n"/>
      <c r="E211" s="7" t="n"/>
      <c r="F211" s="7" t="n"/>
      <c r="G211" s="7" t="n"/>
      <c r="H211" s="3">
        <f>IFERROR(VLOOKUP(B211,Inventory!$A:$B,2,FALSE)*D211,0)</f>
        <v/>
      </c>
      <c r="I211" s="3">
        <f>IF(C211="",0,IFERROR(VLOOKUP(C211,Settings!$A$2:$F$5,2,FALSE)+(E211*D211+F211)*VLOOKUP(C211,Settings!$A$2:$F$5,3,FALSE)/100+(E211*D211+F211)*VLOOKUP(C211,Settings!$A$2:$F$5,4,FALSE)/100+VLOOKUP(C211,Settings!$A$2:$F$5,5,FALSE)+VLOOKUP(C211,Settings!$A$2:$F$5,6,FALSE),0))</f>
        <v/>
      </c>
      <c r="J211" s="3">
        <f>IF(B211="","",IF(ISNA(MATCH(B211,Inventory!$A$2:$A$201,0)),"Check product",E211*D211+F211-I211-G211-H211))</f>
        <v/>
      </c>
      <c r="K211" s="4">
        <f>IF(OR(B211="",NOT(ISNUMBER(J211)),E211*D211+F211=0),"",J211/(E211*D211+F211))</f>
        <v/>
      </c>
    </row>
    <row r="212">
      <c r="A212" s="8" t="n"/>
      <c r="B212" s="6" t="n"/>
      <c r="C212" s="6" t="n"/>
      <c r="D212" s="6" t="n"/>
      <c r="E212" s="7" t="n"/>
      <c r="F212" s="7" t="n"/>
      <c r="G212" s="7" t="n"/>
      <c r="H212" s="3">
        <f>IFERROR(VLOOKUP(B212,Inventory!$A:$B,2,FALSE)*D212,0)</f>
        <v/>
      </c>
      <c r="I212" s="3">
        <f>IF(C212="",0,IFERROR(VLOOKUP(C212,Settings!$A$2:$F$5,2,FALSE)+(E212*D212+F212)*VLOOKUP(C212,Settings!$A$2:$F$5,3,FALSE)/100+(E212*D212+F212)*VLOOKUP(C212,Settings!$A$2:$F$5,4,FALSE)/100+VLOOKUP(C212,Settings!$A$2:$F$5,5,FALSE)+VLOOKUP(C212,Settings!$A$2:$F$5,6,FALSE),0))</f>
        <v/>
      </c>
      <c r="J212" s="3">
        <f>IF(B212="","",IF(ISNA(MATCH(B212,Inventory!$A$2:$A$201,0)),"Check product",E212*D212+F212-I212-G212-H212))</f>
        <v/>
      </c>
      <c r="K212" s="4">
        <f>IF(OR(B212="",NOT(ISNUMBER(J212)),E212*D212+F212=0),"",J212/(E212*D212+F212))</f>
        <v/>
      </c>
    </row>
    <row r="213">
      <c r="A213" s="8" t="n"/>
      <c r="B213" s="6" t="n"/>
      <c r="C213" s="6" t="n"/>
      <c r="D213" s="6" t="n"/>
      <c r="E213" s="7" t="n"/>
      <c r="F213" s="7" t="n"/>
      <c r="G213" s="7" t="n"/>
      <c r="H213" s="3">
        <f>IFERROR(VLOOKUP(B213,Inventory!$A:$B,2,FALSE)*D213,0)</f>
        <v/>
      </c>
      <c r="I213" s="3">
        <f>IF(C213="",0,IFERROR(VLOOKUP(C213,Settings!$A$2:$F$5,2,FALSE)+(E213*D213+F213)*VLOOKUP(C213,Settings!$A$2:$F$5,3,FALSE)/100+(E213*D213+F213)*VLOOKUP(C213,Settings!$A$2:$F$5,4,FALSE)/100+VLOOKUP(C213,Settings!$A$2:$F$5,5,FALSE)+VLOOKUP(C213,Settings!$A$2:$F$5,6,FALSE),0))</f>
        <v/>
      </c>
      <c r="J213" s="3">
        <f>IF(B213="","",IF(ISNA(MATCH(B213,Inventory!$A$2:$A$201,0)),"Check product",E213*D213+F213-I213-G213-H213))</f>
        <v/>
      </c>
      <c r="K213" s="4">
        <f>IF(OR(B213="",NOT(ISNUMBER(J213)),E213*D213+F213=0),"",J213/(E213*D213+F213))</f>
        <v/>
      </c>
    </row>
    <row r="214">
      <c r="A214" s="8" t="n"/>
      <c r="B214" s="6" t="n"/>
      <c r="C214" s="6" t="n"/>
      <c r="D214" s="6" t="n"/>
      <c r="E214" s="7" t="n"/>
      <c r="F214" s="7" t="n"/>
      <c r="G214" s="7" t="n"/>
      <c r="H214" s="3">
        <f>IFERROR(VLOOKUP(B214,Inventory!$A:$B,2,FALSE)*D214,0)</f>
        <v/>
      </c>
      <c r="I214" s="3">
        <f>IF(C214="",0,IFERROR(VLOOKUP(C214,Settings!$A$2:$F$5,2,FALSE)+(E214*D214+F214)*VLOOKUP(C214,Settings!$A$2:$F$5,3,FALSE)/100+(E214*D214+F214)*VLOOKUP(C214,Settings!$A$2:$F$5,4,FALSE)/100+VLOOKUP(C214,Settings!$A$2:$F$5,5,FALSE)+VLOOKUP(C214,Settings!$A$2:$F$5,6,FALSE),0))</f>
        <v/>
      </c>
      <c r="J214" s="3">
        <f>IF(B214="","",IF(ISNA(MATCH(B214,Inventory!$A$2:$A$201,0)),"Check product",E214*D214+F214-I214-G214-H214))</f>
        <v/>
      </c>
      <c r="K214" s="4">
        <f>IF(OR(B214="",NOT(ISNUMBER(J214)),E214*D214+F214=0),"",J214/(E214*D214+F214))</f>
        <v/>
      </c>
    </row>
    <row r="215">
      <c r="A215" s="8" t="n"/>
      <c r="B215" s="6" t="n"/>
      <c r="C215" s="6" t="n"/>
      <c r="D215" s="6" t="n"/>
      <c r="E215" s="7" t="n"/>
      <c r="F215" s="7" t="n"/>
      <c r="G215" s="7" t="n"/>
      <c r="H215" s="3">
        <f>IFERROR(VLOOKUP(B215,Inventory!$A:$B,2,FALSE)*D215,0)</f>
        <v/>
      </c>
      <c r="I215" s="3">
        <f>IF(C215="",0,IFERROR(VLOOKUP(C215,Settings!$A$2:$F$5,2,FALSE)+(E215*D215+F215)*VLOOKUP(C215,Settings!$A$2:$F$5,3,FALSE)/100+(E215*D215+F215)*VLOOKUP(C215,Settings!$A$2:$F$5,4,FALSE)/100+VLOOKUP(C215,Settings!$A$2:$F$5,5,FALSE)+VLOOKUP(C215,Settings!$A$2:$F$5,6,FALSE),0))</f>
        <v/>
      </c>
      <c r="J215" s="3">
        <f>IF(B215="","",IF(ISNA(MATCH(B215,Inventory!$A$2:$A$201,0)),"Check product",E215*D215+F215-I215-G215-H215))</f>
        <v/>
      </c>
      <c r="K215" s="4">
        <f>IF(OR(B215="",NOT(ISNUMBER(J215)),E215*D215+F215=0),"",J215/(E215*D215+F215))</f>
        <v/>
      </c>
    </row>
    <row r="216">
      <c r="A216" s="8" t="n"/>
      <c r="B216" s="6" t="n"/>
      <c r="C216" s="6" t="n"/>
      <c r="D216" s="6" t="n"/>
      <c r="E216" s="7" t="n"/>
      <c r="F216" s="7" t="n"/>
      <c r="G216" s="7" t="n"/>
      <c r="H216" s="3">
        <f>IFERROR(VLOOKUP(B216,Inventory!$A:$B,2,FALSE)*D216,0)</f>
        <v/>
      </c>
      <c r="I216" s="3">
        <f>IF(C216="",0,IFERROR(VLOOKUP(C216,Settings!$A$2:$F$5,2,FALSE)+(E216*D216+F216)*VLOOKUP(C216,Settings!$A$2:$F$5,3,FALSE)/100+(E216*D216+F216)*VLOOKUP(C216,Settings!$A$2:$F$5,4,FALSE)/100+VLOOKUP(C216,Settings!$A$2:$F$5,5,FALSE)+VLOOKUP(C216,Settings!$A$2:$F$5,6,FALSE),0))</f>
        <v/>
      </c>
      <c r="J216" s="3">
        <f>IF(B216="","",IF(ISNA(MATCH(B216,Inventory!$A$2:$A$201,0)),"Check product",E216*D216+F216-I216-G216-H216))</f>
        <v/>
      </c>
      <c r="K216" s="4">
        <f>IF(OR(B216="",NOT(ISNUMBER(J216)),E216*D216+F216=0),"",J216/(E216*D216+F216))</f>
        <v/>
      </c>
    </row>
    <row r="217">
      <c r="A217" s="8" t="n"/>
      <c r="B217" s="6" t="n"/>
      <c r="C217" s="6" t="n"/>
      <c r="D217" s="6" t="n"/>
      <c r="E217" s="7" t="n"/>
      <c r="F217" s="7" t="n"/>
      <c r="G217" s="7" t="n"/>
      <c r="H217" s="3">
        <f>IFERROR(VLOOKUP(B217,Inventory!$A:$B,2,FALSE)*D217,0)</f>
        <v/>
      </c>
      <c r="I217" s="3">
        <f>IF(C217="",0,IFERROR(VLOOKUP(C217,Settings!$A$2:$F$5,2,FALSE)+(E217*D217+F217)*VLOOKUP(C217,Settings!$A$2:$F$5,3,FALSE)/100+(E217*D217+F217)*VLOOKUP(C217,Settings!$A$2:$F$5,4,FALSE)/100+VLOOKUP(C217,Settings!$A$2:$F$5,5,FALSE)+VLOOKUP(C217,Settings!$A$2:$F$5,6,FALSE),0))</f>
        <v/>
      </c>
      <c r="J217" s="3">
        <f>IF(B217="","",IF(ISNA(MATCH(B217,Inventory!$A$2:$A$201,0)),"Check product",E217*D217+F217-I217-G217-H217))</f>
        <v/>
      </c>
      <c r="K217" s="4">
        <f>IF(OR(B217="",NOT(ISNUMBER(J217)),E217*D217+F217=0),"",J217/(E217*D217+F217))</f>
        <v/>
      </c>
    </row>
    <row r="218">
      <c r="A218" s="8" t="n"/>
      <c r="B218" s="6" t="n"/>
      <c r="C218" s="6" t="n"/>
      <c r="D218" s="6" t="n"/>
      <c r="E218" s="7" t="n"/>
      <c r="F218" s="7" t="n"/>
      <c r="G218" s="7" t="n"/>
      <c r="H218" s="3">
        <f>IFERROR(VLOOKUP(B218,Inventory!$A:$B,2,FALSE)*D218,0)</f>
        <v/>
      </c>
      <c r="I218" s="3">
        <f>IF(C218="",0,IFERROR(VLOOKUP(C218,Settings!$A$2:$F$5,2,FALSE)+(E218*D218+F218)*VLOOKUP(C218,Settings!$A$2:$F$5,3,FALSE)/100+(E218*D218+F218)*VLOOKUP(C218,Settings!$A$2:$F$5,4,FALSE)/100+VLOOKUP(C218,Settings!$A$2:$F$5,5,FALSE)+VLOOKUP(C218,Settings!$A$2:$F$5,6,FALSE),0))</f>
        <v/>
      </c>
      <c r="J218" s="3">
        <f>IF(B218="","",IF(ISNA(MATCH(B218,Inventory!$A$2:$A$201,0)),"Check product",E218*D218+F218-I218-G218-H218))</f>
        <v/>
      </c>
      <c r="K218" s="4">
        <f>IF(OR(B218="",NOT(ISNUMBER(J218)),E218*D218+F218=0),"",J218/(E218*D218+F218))</f>
        <v/>
      </c>
    </row>
    <row r="219">
      <c r="A219" s="8" t="n"/>
      <c r="B219" s="6" t="n"/>
      <c r="C219" s="6" t="n"/>
      <c r="D219" s="6" t="n"/>
      <c r="E219" s="7" t="n"/>
      <c r="F219" s="7" t="n"/>
      <c r="G219" s="7" t="n"/>
      <c r="H219" s="3">
        <f>IFERROR(VLOOKUP(B219,Inventory!$A:$B,2,FALSE)*D219,0)</f>
        <v/>
      </c>
      <c r="I219" s="3">
        <f>IF(C219="",0,IFERROR(VLOOKUP(C219,Settings!$A$2:$F$5,2,FALSE)+(E219*D219+F219)*VLOOKUP(C219,Settings!$A$2:$F$5,3,FALSE)/100+(E219*D219+F219)*VLOOKUP(C219,Settings!$A$2:$F$5,4,FALSE)/100+VLOOKUP(C219,Settings!$A$2:$F$5,5,FALSE)+VLOOKUP(C219,Settings!$A$2:$F$5,6,FALSE),0))</f>
        <v/>
      </c>
      <c r="J219" s="3">
        <f>IF(B219="","",IF(ISNA(MATCH(B219,Inventory!$A$2:$A$201,0)),"Check product",E219*D219+F219-I219-G219-H219))</f>
        <v/>
      </c>
      <c r="K219" s="4">
        <f>IF(OR(B219="",NOT(ISNUMBER(J219)),E219*D219+F219=0),"",J219/(E219*D219+F219))</f>
        <v/>
      </c>
    </row>
    <row r="220">
      <c r="A220" s="8" t="n"/>
      <c r="B220" s="6" t="n"/>
      <c r="C220" s="6" t="n"/>
      <c r="D220" s="6" t="n"/>
      <c r="E220" s="7" t="n"/>
      <c r="F220" s="7" t="n"/>
      <c r="G220" s="7" t="n"/>
      <c r="H220" s="3">
        <f>IFERROR(VLOOKUP(B220,Inventory!$A:$B,2,FALSE)*D220,0)</f>
        <v/>
      </c>
      <c r="I220" s="3">
        <f>IF(C220="",0,IFERROR(VLOOKUP(C220,Settings!$A$2:$F$5,2,FALSE)+(E220*D220+F220)*VLOOKUP(C220,Settings!$A$2:$F$5,3,FALSE)/100+(E220*D220+F220)*VLOOKUP(C220,Settings!$A$2:$F$5,4,FALSE)/100+VLOOKUP(C220,Settings!$A$2:$F$5,5,FALSE)+VLOOKUP(C220,Settings!$A$2:$F$5,6,FALSE),0))</f>
        <v/>
      </c>
      <c r="J220" s="3">
        <f>IF(B220="","",IF(ISNA(MATCH(B220,Inventory!$A$2:$A$201,0)),"Check product",E220*D220+F220-I220-G220-H220))</f>
        <v/>
      </c>
      <c r="K220" s="4">
        <f>IF(OR(B220="",NOT(ISNUMBER(J220)),E220*D220+F220=0),"",J220/(E220*D220+F220))</f>
        <v/>
      </c>
    </row>
    <row r="221">
      <c r="A221" s="8" t="n"/>
      <c r="B221" s="6" t="n"/>
      <c r="C221" s="6" t="n"/>
      <c r="D221" s="6" t="n"/>
      <c r="E221" s="7" t="n"/>
      <c r="F221" s="7" t="n"/>
      <c r="G221" s="7" t="n"/>
      <c r="H221" s="3">
        <f>IFERROR(VLOOKUP(B221,Inventory!$A:$B,2,FALSE)*D221,0)</f>
        <v/>
      </c>
      <c r="I221" s="3">
        <f>IF(C221="",0,IFERROR(VLOOKUP(C221,Settings!$A$2:$F$5,2,FALSE)+(E221*D221+F221)*VLOOKUP(C221,Settings!$A$2:$F$5,3,FALSE)/100+(E221*D221+F221)*VLOOKUP(C221,Settings!$A$2:$F$5,4,FALSE)/100+VLOOKUP(C221,Settings!$A$2:$F$5,5,FALSE)+VLOOKUP(C221,Settings!$A$2:$F$5,6,FALSE),0))</f>
        <v/>
      </c>
      <c r="J221" s="3">
        <f>IF(B221="","",IF(ISNA(MATCH(B221,Inventory!$A$2:$A$201,0)),"Check product",E221*D221+F221-I221-G221-H221))</f>
        <v/>
      </c>
      <c r="K221" s="4">
        <f>IF(OR(B221="",NOT(ISNUMBER(J221)),E221*D221+F221=0),"",J221/(E221*D221+F221))</f>
        <v/>
      </c>
    </row>
    <row r="222">
      <c r="A222" s="8" t="n"/>
      <c r="B222" s="6" t="n"/>
      <c r="C222" s="6" t="n"/>
      <c r="D222" s="6" t="n"/>
      <c r="E222" s="7" t="n"/>
      <c r="F222" s="7" t="n"/>
      <c r="G222" s="7" t="n"/>
      <c r="H222" s="3">
        <f>IFERROR(VLOOKUP(B222,Inventory!$A:$B,2,FALSE)*D222,0)</f>
        <v/>
      </c>
      <c r="I222" s="3">
        <f>IF(C222="",0,IFERROR(VLOOKUP(C222,Settings!$A$2:$F$5,2,FALSE)+(E222*D222+F222)*VLOOKUP(C222,Settings!$A$2:$F$5,3,FALSE)/100+(E222*D222+F222)*VLOOKUP(C222,Settings!$A$2:$F$5,4,FALSE)/100+VLOOKUP(C222,Settings!$A$2:$F$5,5,FALSE)+VLOOKUP(C222,Settings!$A$2:$F$5,6,FALSE),0))</f>
        <v/>
      </c>
      <c r="J222" s="3">
        <f>IF(B222="","",IF(ISNA(MATCH(B222,Inventory!$A$2:$A$201,0)),"Check product",E222*D222+F222-I222-G222-H222))</f>
        <v/>
      </c>
      <c r="K222" s="4">
        <f>IF(OR(B222="",NOT(ISNUMBER(J222)),E222*D222+F222=0),"",J222/(E222*D222+F222))</f>
        <v/>
      </c>
    </row>
    <row r="223">
      <c r="A223" s="8" t="n"/>
      <c r="B223" s="6" t="n"/>
      <c r="C223" s="6" t="n"/>
      <c r="D223" s="6" t="n"/>
      <c r="E223" s="7" t="n"/>
      <c r="F223" s="7" t="n"/>
      <c r="G223" s="7" t="n"/>
      <c r="H223" s="3">
        <f>IFERROR(VLOOKUP(B223,Inventory!$A:$B,2,FALSE)*D223,0)</f>
        <v/>
      </c>
      <c r="I223" s="3">
        <f>IF(C223="",0,IFERROR(VLOOKUP(C223,Settings!$A$2:$F$5,2,FALSE)+(E223*D223+F223)*VLOOKUP(C223,Settings!$A$2:$F$5,3,FALSE)/100+(E223*D223+F223)*VLOOKUP(C223,Settings!$A$2:$F$5,4,FALSE)/100+VLOOKUP(C223,Settings!$A$2:$F$5,5,FALSE)+VLOOKUP(C223,Settings!$A$2:$F$5,6,FALSE),0))</f>
        <v/>
      </c>
      <c r="J223" s="3">
        <f>IF(B223="","",IF(ISNA(MATCH(B223,Inventory!$A$2:$A$201,0)),"Check product",E223*D223+F223-I223-G223-H223))</f>
        <v/>
      </c>
      <c r="K223" s="4">
        <f>IF(OR(B223="",NOT(ISNUMBER(J223)),E223*D223+F223=0),"",J223/(E223*D223+F223))</f>
        <v/>
      </c>
    </row>
    <row r="224">
      <c r="A224" s="8" t="n"/>
      <c r="B224" s="6" t="n"/>
      <c r="C224" s="6" t="n"/>
      <c r="D224" s="6" t="n"/>
      <c r="E224" s="7" t="n"/>
      <c r="F224" s="7" t="n"/>
      <c r="G224" s="7" t="n"/>
      <c r="H224" s="3">
        <f>IFERROR(VLOOKUP(B224,Inventory!$A:$B,2,FALSE)*D224,0)</f>
        <v/>
      </c>
      <c r="I224" s="3">
        <f>IF(C224="",0,IFERROR(VLOOKUP(C224,Settings!$A$2:$F$5,2,FALSE)+(E224*D224+F224)*VLOOKUP(C224,Settings!$A$2:$F$5,3,FALSE)/100+(E224*D224+F224)*VLOOKUP(C224,Settings!$A$2:$F$5,4,FALSE)/100+VLOOKUP(C224,Settings!$A$2:$F$5,5,FALSE)+VLOOKUP(C224,Settings!$A$2:$F$5,6,FALSE),0))</f>
        <v/>
      </c>
      <c r="J224" s="3">
        <f>IF(B224="","",IF(ISNA(MATCH(B224,Inventory!$A$2:$A$201,0)),"Check product",E224*D224+F224-I224-G224-H224))</f>
        <v/>
      </c>
      <c r="K224" s="4">
        <f>IF(OR(B224="",NOT(ISNUMBER(J224)),E224*D224+F224=0),"",J224/(E224*D224+F224))</f>
        <v/>
      </c>
    </row>
    <row r="225">
      <c r="A225" s="8" t="n"/>
      <c r="B225" s="6" t="n"/>
      <c r="C225" s="6" t="n"/>
      <c r="D225" s="6" t="n"/>
      <c r="E225" s="7" t="n"/>
      <c r="F225" s="7" t="n"/>
      <c r="G225" s="7" t="n"/>
      <c r="H225" s="3">
        <f>IFERROR(VLOOKUP(B225,Inventory!$A:$B,2,FALSE)*D225,0)</f>
        <v/>
      </c>
      <c r="I225" s="3">
        <f>IF(C225="",0,IFERROR(VLOOKUP(C225,Settings!$A$2:$F$5,2,FALSE)+(E225*D225+F225)*VLOOKUP(C225,Settings!$A$2:$F$5,3,FALSE)/100+(E225*D225+F225)*VLOOKUP(C225,Settings!$A$2:$F$5,4,FALSE)/100+VLOOKUP(C225,Settings!$A$2:$F$5,5,FALSE)+VLOOKUP(C225,Settings!$A$2:$F$5,6,FALSE),0))</f>
        <v/>
      </c>
      <c r="J225" s="3">
        <f>IF(B225="","",IF(ISNA(MATCH(B225,Inventory!$A$2:$A$201,0)),"Check product",E225*D225+F225-I225-G225-H225))</f>
        <v/>
      </c>
      <c r="K225" s="4">
        <f>IF(OR(B225="",NOT(ISNUMBER(J225)),E225*D225+F225=0),"",J225/(E225*D225+F225))</f>
        <v/>
      </c>
    </row>
    <row r="226">
      <c r="A226" s="8" t="n"/>
      <c r="B226" s="6" t="n"/>
      <c r="C226" s="6" t="n"/>
      <c r="D226" s="6" t="n"/>
      <c r="E226" s="7" t="n"/>
      <c r="F226" s="7" t="n"/>
      <c r="G226" s="7" t="n"/>
      <c r="H226" s="3">
        <f>IFERROR(VLOOKUP(B226,Inventory!$A:$B,2,FALSE)*D226,0)</f>
        <v/>
      </c>
      <c r="I226" s="3">
        <f>IF(C226="",0,IFERROR(VLOOKUP(C226,Settings!$A$2:$F$5,2,FALSE)+(E226*D226+F226)*VLOOKUP(C226,Settings!$A$2:$F$5,3,FALSE)/100+(E226*D226+F226)*VLOOKUP(C226,Settings!$A$2:$F$5,4,FALSE)/100+VLOOKUP(C226,Settings!$A$2:$F$5,5,FALSE)+VLOOKUP(C226,Settings!$A$2:$F$5,6,FALSE),0))</f>
        <v/>
      </c>
      <c r="J226" s="3">
        <f>IF(B226="","",IF(ISNA(MATCH(B226,Inventory!$A$2:$A$201,0)),"Check product",E226*D226+F226-I226-G226-H226))</f>
        <v/>
      </c>
      <c r="K226" s="4">
        <f>IF(OR(B226="",NOT(ISNUMBER(J226)),E226*D226+F226=0),"",J226/(E226*D226+F226))</f>
        <v/>
      </c>
    </row>
    <row r="227">
      <c r="A227" s="8" t="n"/>
      <c r="B227" s="6" t="n"/>
      <c r="C227" s="6" t="n"/>
      <c r="D227" s="6" t="n"/>
      <c r="E227" s="7" t="n"/>
      <c r="F227" s="7" t="n"/>
      <c r="G227" s="7" t="n"/>
      <c r="H227" s="3">
        <f>IFERROR(VLOOKUP(B227,Inventory!$A:$B,2,FALSE)*D227,0)</f>
        <v/>
      </c>
      <c r="I227" s="3">
        <f>IF(C227="",0,IFERROR(VLOOKUP(C227,Settings!$A$2:$F$5,2,FALSE)+(E227*D227+F227)*VLOOKUP(C227,Settings!$A$2:$F$5,3,FALSE)/100+(E227*D227+F227)*VLOOKUP(C227,Settings!$A$2:$F$5,4,FALSE)/100+VLOOKUP(C227,Settings!$A$2:$F$5,5,FALSE)+VLOOKUP(C227,Settings!$A$2:$F$5,6,FALSE),0))</f>
        <v/>
      </c>
      <c r="J227" s="3">
        <f>IF(B227="","",IF(ISNA(MATCH(B227,Inventory!$A$2:$A$201,0)),"Check product",E227*D227+F227-I227-G227-H227))</f>
        <v/>
      </c>
      <c r="K227" s="4">
        <f>IF(OR(B227="",NOT(ISNUMBER(J227)),E227*D227+F227=0),"",J227/(E227*D227+F227))</f>
        <v/>
      </c>
    </row>
    <row r="228">
      <c r="A228" s="8" t="n"/>
      <c r="B228" s="6" t="n"/>
      <c r="C228" s="6" t="n"/>
      <c r="D228" s="6" t="n"/>
      <c r="E228" s="7" t="n"/>
      <c r="F228" s="7" t="n"/>
      <c r="G228" s="7" t="n"/>
      <c r="H228" s="3">
        <f>IFERROR(VLOOKUP(B228,Inventory!$A:$B,2,FALSE)*D228,0)</f>
        <v/>
      </c>
      <c r="I228" s="3">
        <f>IF(C228="",0,IFERROR(VLOOKUP(C228,Settings!$A$2:$F$5,2,FALSE)+(E228*D228+F228)*VLOOKUP(C228,Settings!$A$2:$F$5,3,FALSE)/100+(E228*D228+F228)*VLOOKUP(C228,Settings!$A$2:$F$5,4,FALSE)/100+VLOOKUP(C228,Settings!$A$2:$F$5,5,FALSE)+VLOOKUP(C228,Settings!$A$2:$F$5,6,FALSE),0))</f>
        <v/>
      </c>
      <c r="J228" s="3">
        <f>IF(B228="","",IF(ISNA(MATCH(B228,Inventory!$A$2:$A$201,0)),"Check product",E228*D228+F228-I228-G228-H228))</f>
        <v/>
      </c>
      <c r="K228" s="4">
        <f>IF(OR(B228="",NOT(ISNUMBER(J228)),E228*D228+F228=0),"",J228/(E228*D228+F228))</f>
        <v/>
      </c>
    </row>
    <row r="229">
      <c r="A229" s="8" t="n"/>
      <c r="B229" s="6" t="n"/>
      <c r="C229" s="6" t="n"/>
      <c r="D229" s="6" t="n"/>
      <c r="E229" s="7" t="n"/>
      <c r="F229" s="7" t="n"/>
      <c r="G229" s="7" t="n"/>
      <c r="H229" s="3">
        <f>IFERROR(VLOOKUP(B229,Inventory!$A:$B,2,FALSE)*D229,0)</f>
        <v/>
      </c>
      <c r="I229" s="3">
        <f>IF(C229="",0,IFERROR(VLOOKUP(C229,Settings!$A$2:$F$5,2,FALSE)+(E229*D229+F229)*VLOOKUP(C229,Settings!$A$2:$F$5,3,FALSE)/100+(E229*D229+F229)*VLOOKUP(C229,Settings!$A$2:$F$5,4,FALSE)/100+VLOOKUP(C229,Settings!$A$2:$F$5,5,FALSE)+VLOOKUP(C229,Settings!$A$2:$F$5,6,FALSE),0))</f>
        <v/>
      </c>
      <c r="J229" s="3">
        <f>IF(B229="","",IF(ISNA(MATCH(B229,Inventory!$A$2:$A$201,0)),"Check product",E229*D229+F229-I229-G229-H229))</f>
        <v/>
      </c>
      <c r="K229" s="4">
        <f>IF(OR(B229="",NOT(ISNUMBER(J229)),E229*D229+F229=0),"",J229/(E229*D229+F229))</f>
        <v/>
      </c>
    </row>
    <row r="230">
      <c r="A230" s="8" t="n"/>
      <c r="B230" s="6" t="n"/>
      <c r="C230" s="6" t="n"/>
      <c r="D230" s="6" t="n"/>
      <c r="E230" s="7" t="n"/>
      <c r="F230" s="7" t="n"/>
      <c r="G230" s="7" t="n"/>
      <c r="H230" s="3">
        <f>IFERROR(VLOOKUP(B230,Inventory!$A:$B,2,FALSE)*D230,0)</f>
        <v/>
      </c>
      <c r="I230" s="3">
        <f>IF(C230="",0,IFERROR(VLOOKUP(C230,Settings!$A$2:$F$5,2,FALSE)+(E230*D230+F230)*VLOOKUP(C230,Settings!$A$2:$F$5,3,FALSE)/100+(E230*D230+F230)*VLOOKUP(C230,Settings!$A$2:$F$5,4,FALSE)/100+VLOOKUP(C230,Settings!$A$2:$F$5,5,FALSE)+VLOOKUP(C230,Settings!$A$2:$F$5,6,FALSE),0))</f>
        <v/>
      </c>
      <c r="J230" s="3">
        <f>IF(B230="","",IF(ISNA(MATCH(B230,Inventory!$A$2:$A$201,0)),"Check product",E230*D230+F230-I230-G230-H230))</f>
        <v/>
      </c>
      <c r="K230" s="4">
        <f>IF(OR(B230="",NOT(ISNUMBER(J230)),E230*D230+F230=0),"",J230/(E230*D230+F230))</f>
        <v/>
      </c>
    </row>
    <row r="231">
      <c r="A231" s="8" t="n"/>
      <c r="B231" s="6" t="n"/>
      <c r="C231" s="6" t="n"/>
      <c r="D231" s="6" t="n"/>
      <c r="E231" s="7" t="n"/>
      <c r="F231" s="7" t="n"/>
      <c r="G231" s="7" t="n"/>
      <c r="H231" s="3">
        <f>IFERROR(VLOOKUP(B231,Inventory!$A:$B,2,FALSE)*D231,0)</f>
        <v/>
      </c>
      <c r="I231" s="3">
        <f>IF(C231="",0,IFERROR(VLOOKUP(C231,Settings!$A$2:$F$5,2,FALSE)+(E231*D231+F231)*VLOOKUP(C231,Settings!$A$2:$F$5,3,FALSE)/100+(E231*D231+F231)*VLOOKUP(C231,Settings!$A$2:$F$5,4,FALSE)/100+VLOOKUP(C231,Settings!$A$2:$F$5,5,FALSE)+VLOOKUP(C231,Settings!$A$2:$F$5,6,FALSE),0))</f>
        <v/>
      </c>
      <c r="J231" s="3">
        <f>IF(B231="","",IF(ISNA(MATCH(B231,Inventory!$A$2:$A$201,0)),"Check product",E231*D231+F231-I231-G231-H231))</f>
        <v/>
      </c>
      <c r="K231" s="4">
        <f>IF(OR(B231="",NOT(ISNUMBER(J231)),E231*D231+F231=0),"",J231/(E231*D231+F231))</f>
        <v/>
      </c>
    </row>
    <row r="232">
      <c r="A232" s="8" t="n"/>
      <c r="B232" s="6" t="n"/>
      <c r="C232" s="6" t="n"/>
      <c r="D232" s="6" t="n"/>
      <c r="E232" s="7" t="n"/>
      <c r="F232" s="7" t="n"/>
      <c r="G232" s="7" t="n"/>
      <c r="H232" s="3">
        <f>IFERROR(VLOOKUP(B232,Inventory!$A:$B,2,FALSE)*D232,0)</f>
        <v/>
      </c>
      <c r="I232" s="3">
        <f>IF(C232="",0,IFERROR(VLOOKUP(C232,Settings!$A$2:$F$5,2,FALSE)+(E232*D232+F232)*VLOOKUP(C232,Settings!$A$2:$F$5,3,FALSE)/100+(E232*D232+F232)*VLOOKUP(C232,Settings!$A$2:$F$5,4,FALSE)/100+VLOOKUP(C232,Settings!$A$2:$F$5,5,FALSE)+VLOOKUP(C232,Settings!$A$2:$F$5,6,FALSE),0))</f>
        <v/>
      </c>
      <c r="J232" s="3">
        <f>IF(B232="","",IF(ISNA(MATCH(B232,Inventory!$A$2:$A$201,0)),"Check product",E232*D232+F232-I232-G232-H232))</f>
        <v/>
      </c>
      <c r="K232" s="4">
        <f>IF(OR(B232="",NOT(ISNUMBER(J232)),E232*D232+F232=0),"",J232/(E232*D232+F232))</f>
        <v/>
      </c>
    </row>
    <row r="233">
      <c r="A233" s="8" t="n"/>
      <c r="B233" s="6" t="n"/>
      <c r="C233" s="6" t="n"/>
      <c r="D233" s="6" t="n"/>
      <c r="E233" s="7" t="n"/>
      <c r="F233" s="7" t="n"/>
      <c r="G233" s="7" t="n"/>
      <c r="H233" s="3">
        <f>IFERROR(VLOOKUP(B233,Inventory!$A:$B,2,FALSE)*D233,0)</f>
        <v/>
      </c>
      <c r="I233" s="3">
        <f>IF(C233="",0,IFERROR(VLOOKUP(C233,Settings!$A$2:$F$5,2,FALSE)+(E233*D233+F233)*VLOOKUP(C233,Settings!$A$2:$F$5,3,FALSE)/100+(E233*D233+F233)*VLOOKUP(C233,Settings!$A$2:$F$5,4,FALSE)/100+VLOOKUP(C233,Settings!$A$2:$F$5,5,FALSE)+VLOOKUP(C233,Settings!$A$2:$F$5,6,FALSE),0))</f>
        <v/>
      </c>
      <c r="J233" s="3">
        <f>IF(B233="","",IF(ISNA(MATCH(B233,Inventory!$A$2:$A$201,0)),"Check product",E233*D233+F233-I233-G233-H233))</f>
        <v/>
      </c>
      <c r="K233" s="4">
        <f>IF(OR(B233="",NOT(ISNUMBER(J233)),E233*D233+F233=0),"",J233/(E233*D233+F233))</f>
        <v/>
      </c>
    </row>
    <row r="234">
      <c r="A234" s="8" t="n"/>
      <c r="B234" s="6" t="n"/>
      <c r="C234" s="6" t="n"/>
      <c r="D234" s="6" t="n"/>
      <c r="E234" s="7" t="n"/>
      <c r="F234" s="7" t="n"/>
      <c r="G234" s="7" t="n"/>
      <c r="H234" s="3">
        <f>IFERROR(VLOOKUP(B234,Inventory!$A:$B,2,FALSE)*D234,0)</f>
        <v/>
      </c>
      <c r="I234" s="3">
        <f>IF(C234="",0,IFERROR(VLOOKUP(C234,Settings!$A$2:$F$5,2,FALSE)+(E234*D234+F234)*VLOOKUP(C234,Settings!$A$2:$F$5,3,FALSE)/100+(E234*D234+F234)*VLOOKUP(C234,Settings!$A$2:$F$5,4,FALSE)/100+VLOOKUP(C234,Settings!$A$2:$F$5,5,FALSE)+VLOOKUP(C234,Settings!$A$2:$F$5,6,FALSE),0))</f>
        <v/>
      </c>
      <c r="J234" s="3">
        <f>IF(B234="","",IF(ISNA(MATCH(B234,Inventory!$A$2:$A$201,0)),"Check product",E234*D234+F234-I234-G234-H234))</f>
        <v/>
      </c>
      <c r="K234" s="4">
        <f>IF(OR(B234="",NOT(ISNUMBER(J234)),E234*D234+F234=0),"",J234/(E234*D234+F234))</f>
        <v/>
      </c>
    </row>
    <row r="235">
      <c r="A235" s="8" t="n"/>
      <c r="B235" s="6" t="n"/>
      <c r="C235" s="6" t="n"/>
      <c r="D235" s="6" t="n"/>
      <c r="E235" s="7" t="n"/>
      <c r="F235" s="7" t="n"/>
      <c r="G235" s="7" t="n"/>
      <c r="H235" s="3">
        <f>IFERROR(VLOOKUP(B235,Inventory!$A:$B,2,FALSE)*D235,0)</f>
        <v/>
      </c>
      <c r="I235" s="3">
        <f>IF(C235="",0,IFERROR(VLOOKUP(C235,Settings!$A$2:$F$5,2,FALSE)+(E235*D235+F235)*VLOOKUP(C235,Settings!$A$2:$F$5,3,FALSE)/100+(E235*D235+F235)*VLOOKUP(C235,Settings!$A$2:$F$5,4,FALSE)/100+VLOOKUP(C235,Settings!$A$2:$F$5,5,FALSE)+VLOOKUP(C235,Settings!$A$2:$F$5,6,FALSE),0))</f>
        <v/>
      </c>
      <c r="J235" s="3">
        <f>IF(B235="","",IF(ISNA(MATCH(B235,Inventory!$A$2:$A$201,0)),"Check product",E235*D235+F235-I235-G235-H235))</f>
        <v/>
      </c>
      <c r="K235" s="4">
        <f>IF(OR(B235="",NOT(ISNUMBER(J235)),E235*D235+F235=0),"",J235/(E235*D235+F235))</f>
        <v/>
      </c>
    </row>
    <row r="236">
      <c r="A236" s="8" t="n"/>
      <c r="B236" s="6" t="n"/>
      <c r="C236" s="6" t="n"/>
      <c r="D236" s="6" t="n"/>
      <c r="E236" s="7" t="n"/>
      <c r="F236" s="7" t="n"/>
      <c r="G236" s="7" t="n"/>
      <c r="H236" s="3">
        <f>IFERROR(VLOOKUP(B236,Inventory!$A:$B,2,FALSE)*D236,0)</f>
        <v/>
      </c>
      <c r="I236" s="3">
        <f>IF(C236="",0,IFERROR(VLOOKUP(C236,Settings!$A$2:$F$5,2,FALSE)+(E236*D236+F236)*VLOOKUP(C236,Settings!$A$2:$F$5,3,FALSE)/100+(E236*D236+F236)*VLOOKUP(C236,Settings!$A$2:$F$5,4,FALSE)/100+VLOOKUP(C236,Settings!$A$2:$F$5,5,FALSE)+VLOOKUP(C236,Settings!$A$2:$F$5,6,FALSE),0))</f>
        <v/>
      </c>
      <c r="J236" s="3">
        <f>IF(B236="","",IF(ISNA(MATCH(B236,Inventory!$A$2:$A$201,0)),"Check product",E236*D236+F236-I236-G236-H236))</f>
        <v/>
      </c>
      <c r="K236" s="4">
        <f>IF(OR(B236="",NOT(ISNUMBER(J236)),E236*D236+F236=0),"",J236/(E236*D236+F236))</f>
        <v/>
      </c>
    </row>
    <row r="237">
      <c r="A237" s="8" t="n"/>
      <c r="B237" s="6" t="n"/>
      <c r="C237" s="6" t="n"/>
      <c r="D237" s="6" t="n"/>
      <c r="E237" s="7" t="n"/>
      <c r="F237" s="7" t="n"/>
      <c r="G237" s="7" t="n"/>
      <c r="H237" s="3">
        <f>IFERROR(VLOOKUP(B237,Inventory!$A:$B,2,FALSE)*D237,0)</f>
        <v/>
      </c>
      <c r="I237" s="3">
        <f>IF(C237="",0,IFERROR(VLOOKUP(C237,Settings!$A$2:$F$5,2,FALSE)+(E237*D237+F237)*VLOOKUP(C237,Settings!$A$2:$F$5,3,FALSE)/100+(E237*D237+F237)*VLOOKUP(C237,Settings!$A$2:$F$5,4,FALSE)/100+VLOOKUP(C237,Settings!$A$2:$F$5,5,FALSE)+VLOOKUP(C237,Settings!$A$2:$F$5,6,FALSE),0))</f>
        <v/>
      </c>
      <c r="J237" s="3">
        <f>IF(B237="","",IF(ISNA(MATCH(B237,Inventory!$A$2:$A$201,0)),"Check product",E237*D237+F237-I237-G237-H237))</f>
        <v/>
      </c>
      <c r="K237" s="4">
        <f>IF(OR(B237="",NOT(ISNUMBER(J237)),E237*D237+F237=0),"",J237/(E237*D237+F237))</f>
        <v/>
      </c>
    </row>
    <row r="238">
      <c r="A238" s="8" t="n"/>
      <c r="B238" s="6" t="n"/>
      <c r="C238" s="6" t="n"/>
      <c r="D238" s="6" t="n"/>
      <c r="E238" s="7" t="n"/>
      <c r="F238" s="7" t="n"/>
      <c r="G238" s="7" t="n"/>
      <c r="H238" s="3">
        <f>IFERROR(VLOOKUP(B238,Inventory!$A:$B,2,FALSE)*D238,0)</f>
        <v/>
      </c>
      <c r="I238" s="3">
        <f>IF(C238="",0,IFERROR(VLOOKUP(C238,Settings!$A$2:$F$5,2,FALSE)+(E238*D238+F238)*VLOOKUP(C238,Settings!$A$2:$F$5,3,FALSE)/100+(E238*D238+F238)*VLOOKUP(C238,Settings!$A$2:$F$5,4,FALSE)/100+VLOOKUP(C238,Settings!$A$2:$F$5,5,FALSE)+VLOOKUP(C238,Settings!$A$2:$F$5,6,FALSE),0))</f>
        <v/>
      </c>
      <c r="J238" s="3">
        <f>IF(B238="","",IF(ISNA(MATCH(B238,Inventory!$A$2:$A$201,0)),"Check product",E238*D238+F238-I238-G238-H238))</f>
        <v/>
      </c>
      <c r="K238" s="4">
        <f>IF(OR(B238="",NOT(ISNUMBER(J238)),E238*D238+F238=0),"",J238/(E238*D238+F238))</f>
        <v/>
      </c>
    </row>
    <row r="239">
      <c r="A239" s="8" t="n"/>
      <c r="B239" s="6" t="n"/>
      <c r="C239" s="6" t="n"/>
      <c r="D239" s="6" t="n"/>
      <c r="E239" s="7" t="n"/>
      <c r="F239" s="7" t="n"/>
      <c r="G239" s="7" t="n"/>
      <c r="H239" s="3">
        <f>IFERROR(VLOOKUP(B239,Inventory!$A:$B,2,FALSE)*D239,0)</f>
        <v/>
      </c>
      <c r="I239" s="3">
        <f>IF(C239="",0,IFERROR(VLOOKUP(C239,Settings!$A$2:$F$5,2,FALSE)+(E239*D239+F239)*VLOOKUP(C239,Settings!$A$2:$F$5,3,FALSE)/100+(E239*D239+F239)*VLOOKUP(C239,Settings!$A$2:$F$5,4,FALSE)/100+VLOOKUP(C239,Settings!$A$2:$F$5,5,FALSE)+VLOOKUP(C239,Settings!$A$2:$F$5,6,FALSE),0))</f>
        <v/>
      </c>
      <c r="J239" s="3">
        <f>IF(B239="","",IF(ISNA(MATCH(B239,Inventory!$A$2:$A$201,0)),"Check product",E239*D239+F239-I239-G239-H239))</f>
        <v/>
      </c>
      <c r="K239" s="4">
        <f>IF(OR(B239="",NOT(ISNUMBER(J239)),E239*D239+F239=0),"",J239/(E239*D239+F239))</f>
        <v/>
      </c>
    </row>
    <row r="240">
      <c r="A240" s="8" t="n"/>
      <c r="B240" s="6" t="n"/>
      <c r="C240" s="6" t="n"/>
      <c r="D240" s="6" t="n"/>
      <c r="E240" s="7" t="n"/>
      <c r="F240" s="7" t="n"/>
      <c r="G240" s="7" t="n"/>
      <c r="H240" s="3">
        <f>IFERROR(VLOOKUP(B240,Inventory!$A:$B,2,FALSE)*D240,0)</f>
        <v/>
      </c>
      <c r="I240" s="3">
        <f>IF(C240="",0,IFERROR(VLOOKUP(C240,Settings!$A$2:$F$5,2,FALSE)+(E240*D240+F240)*VLOOKUP(C240,Settings!$A$2:$F$5,3,FALSE)/100+(E240*D240+F240)*VLOOKUP(C240,Settings!$A$2:$F$5,4,FALSE)/100+VLOOKUP(C240,Settings!$A$2:$F$5,5,FALSE)+VLOOKUP(C240,Settings!$A$2:$F$5,6,FALSE),0))</f>
        <v/>
      </c>
      <c r="J240" s="3">
        <f>IF(B240="","",IF(ISNA(MATCH(B240,Inventory!$A$2:$A$201,0)),"Check product",E240*D240+F240-I240-G240-H240))</f>
        <v/>
      </c>
      <c r="K240" s="4">
        <f>IF(OR(B240="",NOT(ISNUMBER(J240)),E240*D240+F240=0),"",J240/(E240*D240+F240))</f>
        <v/>
      </c>
    </row>
    <row r="241">
      <c r="A241" s="8" t="n"/>
      <c r="B241" s="6" t="n"/>
      <c r="C241" s="6" t="n"/>
      <c r="D241" s="6" t="n"/>
      <c r="E241" s="7" t="n"/>
      <c r="F241" s="7" t="n"/>
      <c r="G241" s="7" t="n"/>
      <c r="H241" s="3">
        <f>IFERROR(VLOOKUP(B241,Inventory!$A:$B,2,FALSE)*D241,0)</f>
        <v/>
      </c>
      <c r="I241" s="3">
        <f>IF(C241="",0,IFERROR(VLOOKUP(C241,Settings!$A$2:$F$5,2,FALSE)+(E241*D241+F241)*VLOOKUP(C241,Settings!$A$2:$F$5,3,FALSE)/100+(E241*D241+F241)*VLOOKUP(C241,Settings!$A$2:$F$5,4,FALSE)/100+VLOOKUP(C241,Settings!$A$2:$F$5,5,FALSE)+VLOOKUP(C241,Settings!$A$2:$F$5,6,FALSE),0))</f>
        <v/>
      </c>
      <c r="J241" s="3">
        <f>IF(B241="","",IF(ISNA(MATCH(B241,Inventory!$A$2:$A$201,0)),"Check product",E241*D241+F241-I241-G241-H241))</f>
        <v/>
      </c>
      <c r="K241" s="4">
        <f>IF(OR(B241="",NOT(ISNUMBER(J241)),E241*D241+F241=0),"",J241/(E241*D241+F241))</f>
        <v/>
      </c>
    </row>
    <row r="242">
      <c r="A242" s="8" t="n"/>
      <c r="B242" s="6" t="n"/>
      <c r="C242" s="6" t="n"/>
      <c r="D242" s="6" t="n"/>
      <c r="E242" s="7" t="n"/>
      <c r="F242" s="7" t="n"/>
      <c r="G242" s="7" t="n"/>
      <c r="H242" s="3">
        <f>IFERROR(VLOOKUP(B242,Inventory!$A:$B,2,FALSE)*D242,0)</f>
        <v/>
      </c>
      <c r="I242" s="3">
        <f>IF(C242="",0,IFERROR(VLOOKUP(C242,Settings!$A$2:$F$5,2,FALSE)+(E242*D242+F242)*VLOOKUP(C242,Settings!$A$2:$F$5,3,FALSE)/100+(E242*D242+F242)*VLOOKUP(C242,Settings!$A$2:$F$5,4,FALSE)/100+VLOOKUP(C242,Settings!$A$2:$F$5,5,FALSE)+VLOOKUP(C242,Settings!$A$2:$F$5,6,FALSE),0))</f>
        <v/>
      </c>
      <c r="J242" s="3">
        <f>IF(B242="","",IF(ISNA(MATCH(B242,Inventory!$A$2:$A$201,0)),"Check product",E242*D242+F242-I242-G242-H242))</f>
        <v/>
      </c>
      <c r="K242" s="4">
        <f>IF(OR(B242="",NOT(ISNUMBER(J242)),E242*D242+F242=0),"",J242/(E242*D242+F242))</f>
        <v/>
      </c>
    </row>
    <row r="243">
      <c r="A243" s="8" t="n"/>
      <c r="B243" s="6" t="n"/>
      <c r="C243" s="6" t="n"/>
      <c r="D243" s="6" t="n"/>
      <c r="E243" s="7" t="n"/>
      <c r="F243" s="7" t="n"/>
      <c r="G243" s="7" t="n"/>
      <c r="H243" s="3">
        <f>IFERROR(VLOOKUP(B243,Inventory!$A:$B,2,FALSE)*D243,0)</f>
        <v/>
      </c>
      <c r="I243" s="3">
        <f>IF(C243="",0,IFERROR(VLOOKUP(C243,Settings!$A$2:$F$5,2,FALSE)+(E243*D243+F243)*VLOOKUP(C243,Settings!$A$2:$F$5,3,FALSE)/100+(E243*D243+F243)*VLOOKUP(C243,Settings!$A$2:$F$5,4,FALSE)/100+VLOOKUP(C243,Settings!$A$2:$F$5,5,FALSE)+VLOOKUP(C243,Settings!$A$2:$F$5,6,FALSE),0))</f>
        <v/>
      </c>
      <c r="J243" s="3">
        <f>IF(B243="","",IF(ISNA(MATCH(B243,Inventory!$A$2:$A$201,0)),"Check product",E243*D243+F243-I243-G243-H243))</f>
        <v/>
      </c>
      <c r="K243" s="4">
        <f>IF(OR(B243="",NOT(ISNUMBER(J243)),E243*D243+F243=0),"",J243/(E243*D243+F243))</f>
        <v/>
      </c>
    </row>
    <row r="244">
      <c r="A244" s="8" t="n"/>
      <c r="B244" s="6" t="n"/>
      <c r="C244" s="6" t="n"/>
      <c r="D244" s="6" t="n"/>
      <c r="E244" s="7" t="n"/>
      <c r="F244" s="7" t="n"/>
      <c r="G244" s="7" t="n"/>
      <c r="H244" s="3">
        <f>IFERROR(VLOOKUP(B244,Inventory!$A:$B,2,FALSE)*D244,0)</f>
        <v/>
      </c>
      <c r="I244" s="3">
        <f>IF(C244="",0,IFERROR(VLOOKUP(C244,Settings!$A$2:$F$5,2,FALSE)+(E244*D244+F244)*VLOOKUP(C244,Settings!$A$2:$F$5,3,FALSE)/100+(E244*D244+F244)*VLOOKUP(C244,Settings!$A$2:$F$5,4,FALSE)/100+VLOOKUP(C244,Settings!$A$2:$F$5,5,FALSE)+VLOOKUP(C244,Settings!$A$2:$F$5,6,FALSE),0))</f>
        <v/>
      </c>
      <c r="J244" s="3">
        <f>IF(B244="","",IF(ISNA(MATCH(B244,Inventory!$A$2:$A$201,0)),"Check product",E244*D244+F244-I244-G244-H244))</f>
        <v/>
      </c>
      <c r="K244" s="4">
        <f>IF(OR(B244="",NOT(ISNUMBER(J244)),E244*D244+F244=0),"",J244/(E244*D244+F244))</f>
        <v/>
      </c>
    </row>
    <row r="245">
      <c r="A245" s="8" t="n"/>
      <c r="B245" s="6" t="n"/>
      <c r="C245" s="6" t="n"/>
      <c r="D245" s="6" t="n"/>
      <c r="E245" s="7" t="n"/>
      <c r="F245" s="7" t="n"/>
      <c r="G245" s="7" t="n"/>
      <c r="H245" s="3">
        <f>IFERROR(VLOOKUP(B245,Inventory!$A:$B,2,FALSE)*D245,0)</f>
        <v/>
      </c>
      <c r="I245" s="3">
        <f>IF(C245="",0,IFERROR(VLOOKUP(C245,Settings!$A$2:$F$5,2,FALSE)+(E245*D245+F245)*VLOOKUP(C245,Settings!$A$2:$F$5,3,FALSE)/100+(E245*D245+F245)*VLOOKUP(C245,Settings!$A$2:$F$5,4,FALSE)/100+VLOOKUP(C245,Settings!$A$2:$F$5,5,FALSE)+VLOOKUP(C245,Settings!$A$2:$F$5,6,FALSE),0))</f>
        <v/>
      </c>
      <c r="J245" s="3">
        <f>IF(B245="","",IF(ISNA(MATCH(B245,Inventory!$A$2:$A$201,0)),"Check product",E245*D245+F245-I245-G245-H245))</f>
        <v/>
      </c>
      <c r="K245" s="4">
        <f>IF(OR(B245="",NOT(ISNUMBER(J245)),E245*D245+F245=0),"",J245/(E245*D245+F245))</f>
        <v/>
      </c>
    </row>
    <row r="246">
      <c r="A246" s="8" t="n"/>
      <c r="B246" s="6" t="n"/>
      <c r="C246" s="6" t="n"/>
      <c r="D246" s="6" t="n"/>
      <c r="E246" s="7" t="n"/>
      <c r="F246" s="7" t="n"/>
      <c r="G246" s="7" t="n"/>
      <c r="H246" s="3">
        <f>IFERROR(VLOOKUP(B246,Inventory!$A:$B,2,FALSE)*D246,0)</f>
        <v/>
      </c>
      <c r="I246" s="3">
        <f>IF(C246="",0,IFERROR(VLOOKUP(C246,Settings!$A$2:$F$5,2,FALSE)+(E246*D246+F246)*VLOOKUP(C246,Settings!$A$2:$F$5,3,FALSE)/100+(E246*D246+F246)*VLOOKUP(C246,Settings!$A$2:$F$5,4,FALSE)/100+VLOOKUP(C246,Settings!$A$2:$F$5,5,FALSE)+VLOOKUP(C246,Settings!$A$2:$F$5,6,FALSE),0))</f>
        <v/>
      </c>
      <c r="J246" s="3">
        <f>IF(B246="","",IF(ISNA(MATCH(B246,Inventory!$A$2:$A$201,0)),"Check product",E246*D246+F246-I246-G246-H246))</f>
        <v/>
      </c>
      <c r="K246" s="4">
        <f>IF(OR(B246="",NOT(ISNUMBER(J246)),E246*D246+F246=0),"",J246/(E246*D246+F246))</f>
        <v/>
      </c>
    </row>
    <row r="247">
      <c r="A247" s="8" t="n"/>
      <c r="B247" s="6" t="n"/>
      <c r="C247" s="6" t="n"/>
      <c r="D247" s="6" t="n"/>
      <c r="E247" s="7" t="n"/>
      <c r="F247" s="7" t="n"/>
      <c r="G247" s="7" t="n"/>
      <c r="H247" s="3">
        <f>IFERROR(VLOOKUP(B247,Inventory!$A:$B,2,FALSE)*D247,0)</f>
        <v/>
      </c>
      <c r="I247" s="3">
        <f>IF(C247="",0,IFERROR(VLOOKUP(C247,Settings!$A$2:$F$5,2,FALSE)+(E247*D247+F247)*VLOOKUP(C247,Settings!$A$2:$F$5,3,FALSE)/100+(E247*D247+F247)*VLOOKUP(C247,Settings!$A$2:$F$5,4,FALSE)/100+VLOOKUP(C247,Settings!$A$2:$F$5,5,FALSE)+VLOOKUP(C247,Settings!$A$2:$F$5,6,FALSE),0))</f>
        <v/>
      </c>
      <c r="J247" s="3">
        <f>IF(B247="","",IF(ISNA(MATCH(B247,Inventory!$A$2:$A$201,0)),"Check product",E247*D247+F247-I247-G247-H247))</f>
        <v/>
      </c>
      <c r="K247" s="4">
        <f>IF(OR(B247="",NOT(ISNUMBER(J247)),E247*D247+F247=0),"",J247/(E247*D247+F247))</f>
        <v/>
      </c>
    </row>
    <row r="248">
      <c r="A248" s="8" t="n"/>
      <c r="B248" s="6" t="n"/>
      <c r="C248" s="6" t="n"/>
      <c r="D248" s="6" t="n"/>
      <c r="E248" s="7" t="n"/>
      <c r="F248" s="7" t="n"/>
      <c r="G248" s="7" t="n"/>
      <c r="H248" s="3">
        <f>IFERROR(VLOOKUP(B248,Inventory!$A:$B,2,FALSE)*D248,0)</f>
        <v/>
      </c>
      <c r="I248" s="3">
        <f>IF(C248="",0,IFERROR(VLOOKUP(C248,Settings!$A$2:$F$5,2,FALSE)+(E248*D248+F248)*VLOOKUP(C248,Settings!$A$2:$F$5,3,FALSE)/100+(E248*D248+F248)*VLOOKUP(C248,Settings!$A$2:$F$5,4,FALSE)/100+VLOOKUP(C248,Settings!$A$2:$F$5,5,FALSE)+VLOOKUP(C248,Settings!$A$2:$F$5,6,FALSE),0))</f>
        <v/>
      </c>
      <c r="J248" s="3">
        <f>IF(B248="","",IF(ISNA(MATCH(B248,Inventory!$A$2:$A$201,0)),"Check product",E248*D248+F248-I248-G248-H248))</f>
        <v/>
      </c>
      <c r="K248" s="4">
        <f>IF(OR(B248="",NOT(ISNUMBER(J248)),E248*D248+F248=0),"",J248/(E248*D248+F248))</f>
        <v/>
      </c>
    </row>
    <row r="249">
      <c r="A249" s="8" t="n"/>
      <c r="B249" s="6" t="n"/>
      <c r="C249" s="6" t="n"/>
      <c r="D249" s="6" t="n"/>
      <c r="E249" s="7" t="n"/>
      <c r="F249" s="7" t="n"/>
      <c r="G249" s="7" t="n"/>
      <c r="H249" s="3">
        <f>IFERROR(VLOOKUP(B249,Inventory!$A:$B,2,FALSE)*D249,0)</f>
        <v/>
      </c>
      <c r="I249" s="3">
        <f>IF(C249="",0,IFERROR(VLOOKUP(C249,Settings!$A$2:$F$5,2,FALSE)+(E249*D249+F249)*VLOOKUP(C249,Settings!$A$2:$F$5,3,FALSE)/100+(E249*D249+F249)*VLOOKUP(C249,Settings!$A$2:$F$5,4,FALSE)/100+VLOOKUP(C249,Settings!$A$2:$F$5,5,FALSE)+VLOOKUP(C249,Settings!$A$2:$F$5,6,FALSE),0))</f>
        <v/>
      </c>
      <c r="J249" s="3">
        <f>IF(B249="","",IF(ISNA(MATCH(B249,Inventory!$A$2:$A$201,0)),"Check product",E249*D249+F249-I249-G249-H249))</f>
        <v/>
      </c>
      <c r="K249" s="4">
        <f>IF(OR(B249="",NOT(ISNUMBER(J249)),E249*D249+F249=0),"",J249/(E249*D249+F249))</f>
        <v/>
      </c>
    </row>
    <row r="250">
      <c r="A250" s="8" t="n"/>
      <c r="B250" s="6" t="n"/>
      <c r="C250" s="6" t="n"/>
      <c r="D250" s="6" t="n"/>
      <c r="E250" s="7" t="n"/>
      <c r="F250" s="7" t="n"/>
      <c r="G250" s="7" t="n"/>
      <c r="H250" s="3">
        <f>IFERROR(VLOOKUP(B250,Inventory!$A:$B,2,FALSE)*D250,0)</f>
        <v/>
      </c>
      <c r="I250" s="3">
        <f>IF(C250="",0,IFERROR(VLOOKUP(C250,Settings!$A$2:$F$5,2,FALSE)+(E250*D250+F250)*VLOOKUP(C250,Settings!$A$2:$F$5,3,FALSE)/100+(E250*D250+F250)*VLOOKUP(C250,Settings!$A$2:$F$5,4,FALSE)/100+VLOOKUP(C250,Settings!$A$2:$F$5,5,FALSE)+VLOOKUP(C250,Settings!$A$2:$F$5,6,FALSE),0))</f>
        <v/>
      </c>
      <c r="J250" s="3">
        <f>IF(B250="","",IF(ISNA(MATCH(B250,Inventory!$A$2:$A$201,0)),"Check product",E250*D250+F250-I250-G250-H250))</f>
        <v/>
      </c>
      <c r="K250" s="4">
        <f>IF(OR(B250="",NOT(ISNUMBER(J250)),E250*D250+F250=0),"",J250/(E250*D250+F250))</f>
        <v/>
      </c>
    </row>
    <row r="251">
      <c r="A251" s="8" t="n"/>
      <c r="B251" s="6" t="n"/>
      <c r="C251" s="6" t="n"/>
      <c r="D251" s="6" t="n"/>
      <c r="E251" s="7" t="n"/>
      <c r="F251" s="7" t="n"/>
      <c r="G251" s="7" t="n"/>
      <c r="H251" s="3">
        <f>IFERROR(VLOOKUP(B251,Inventory!$A:$B,2,FALSE)*D251,0)</f>
        <v/>
      </c>
      <c r="I251" s="3">
        <f>IF(C251="",0,IFERROR(VLOOKUP(C251,Settings!$A$2:$F$5,2,FALSE)+(E251*D251+F251)*VLOOKUP(C251,Settings!$A$2:$F$5,3,FALSE)/100+(E251*D251+F251)*VLOOKUP(C251,Settings!$A$2:$F$5,4,FALSE)/100+VLOOKUP(C251,Settings!$A$2:$F$5,5,FALSE)+VLOOKUP(C251,Settings!$A$2:$F$5,6,FALSE),0))</f>
        <v/>
      </c>
      <c r="J251" s="3">
        <f>IF(B251="","",IF(ISNA(MATCH(B251,Inventory!$A$2:$A$201,0)),"Check product",E251*D251+F251-I251-G251-H251))</f>
        <v/>
      </c>
      <c r="K251" s="4">
        <f>IF(OR(B251="",NOT(ISNUMBER(J251)),E251*D251+F251=0),"",J251/(E251*D251+F251))</f>
        <v/>
      </c>
    </row>
    <row r="252">
      <c r="A252" s="8" t="n"/>
      <c r="B252" s="6" t="n"/>
      <c r="C252" s="6" t="n"/>
      <c r="D252" s="6" t="n"/>
      <c r="E252" s="7" t="n"/>
      <c r="F252" s="7" t="n"/>
      <c r="G252" s="7" t="n"/>
      <c r="H252" s="3">
        <f>IFERROR(VLOOKUP(B252,Inventory!$A:$B,2,FALSE)*D252,0)</f>
        <v/>
      </c>
      <c r="I252" s="3">
        <f>IF(C252="",0,IFERROR(VLOOKUP(C252,Settings!$A$2:$F$5,2,FALSE)+(E252*D252+F252)*VLOOKUP(C252,Settings!$A$2:$F$5,3,FALSE)/100+(E252*D252+F252)*VLOOKUP(C252,Settings!$A$2:$F$5,4,FALSE)/100+VLOOKUP(C252,Settings!$A$2:$F$5,5,FALSE)+VLOOKUP(C252,Settings!$A$2:$F$5,6,FALSE),0))</f>
        <v/>
      </c>
      <c r="J252" s="3">
        <f>IF(B252="","",IF(ISNA(MATCH(B252,Inventory!$A$2:$A$201,0)),"Check product",E252*D252+F252-I252-G252-H252))</f>
        <v/>
      </c>
      <c r="K252" s="4">
        <f>IF(OR(B252="",NOT(ISNUMBER(J252)),E252*D252+F252=0),"",J252/(E252*D252+F252))</f>
        <v/>
      </c>
    </row>
    <row r="253">
      <c r="A253" s="8" t="n"/>
      <c r="B253" s="6" t="n"/>
      <c r="C253" s="6" t="n"/>
      <c r="D253" s="6" t="n"/>
      <c r="E253" s="7" t="n"/>
      <c r="F253" s="7" t="n"/>
      <c r="G253" s="7" t="n"/>
      <c r="H253" s="3">
        <f>IFERROR(VLOOKUP(B253,Inventory!$A:$B,2,FALSE)*D253,0)</f>
        <v/>
      </c>
      <c r="I253" s="3">
        <f>IF(C253="",0,IFERROR(VLOOKUP(C253,Settings!$A$2:$F$5,2,FALSE)+(E253*D253+F253)*VLOOKUP(C253,Settings!$A$2:$F$5,3,FALSE)/100+(E253*D253+F253)*VLOOKUP(C253,Settings!$A$2:$F$5,4,FALSE)/100+VLOOKUP(C253,Settings!$A$2:$F$5,5,FALSE)+VLOOKUP(C253,Settings!$A$2:$F$5,6,FALSE),0))</f>
        <v/>
      </c>
      <c r="J253" s="3">
        <f>IF(B253="","",IF(ISNA(MATCH(B253,Inventory!$A$2:$A$201,0)),"Check product",E253*D253+F253-I253-G253-H253))</f>
        <v/>
      </c>
      <c r="K253" s="4">
        <f>IF(OR(B253="",NOT(ISNUMBER(J253)),E253*D253+F253=0),"",J253/(E253*D253+F253))</f>
        <v/>
      </c>
    </row>
    <row r="254">
      <c r="A254" s="8" t="n"/>
      <c r="B254" s="6" t="n"/>
      <c r="C254" s="6" t="n"/>
      <c r="D254" s="6" t="n"/>
      <c r="E254" s="7" t="n"/>
      <c r="F254" s="7" t="n"/>
      <c r="G254" s="7" t="n"/>
      <c r="H254" s="3">
        <f>IFERROR(VLOOKUP(B254,Inventory!$A:$B,2,FALSE)*D254,0)</f>
        <v/>
      </c>
      <c r="I254" s="3">
        <f>IF(C254="",0,IFERROR(VLOOKUP(C254,Settings!$A$2:$F$5,2,FALSE)+(E254*D254+F254)*VLOOKUP(C254,Settings!$A$2:$F$5,3,FALSE)/100+(E254*D254+F254)*VLOOKUP(C254,Settings!$A$2:$F$5,4,FALSE)/100+VLOOKUP(C254,Settings!$A$2:$F$5,5,FALSE)+VLOOKUP(C254,Settings!$A$2:$F$5,6,FALSE),0))</f>
        <v/>
      </c>
      <c r="J254" s="3">
        <f>IF(B254="","",IF(ISNA(MATCH(B254,Inventory!$A$2:$A$201,0)),"Check product",E254*D254+F254-I254-G254-H254))</f>
        <v/>
      </c>
      <c r="K254" s="4">
        <f>IF(OR(B254="",NOT(ISNUMBER(J254)),E254*D254+F254=0),"",J254/(E254*D254+F254))</f>
        <v/>
      </c>
    </row>
    <row r="255">
      <c r="A255" s="8" t="n"/>
      <c r="B255" s="6" t="n"/>
      <c r="C255" s="6" t="n"/>
      <c r="D255" s="6" t="n"/>
      <c r="E255" s="7" t="n"/>
      <c r="F255" s="7" t="n"/>
      <c r="G255" s="7" t="n"/>
      <c r="H255" s="3">
        <f>IFERROR(VLOOKUP(B255,Inventory!$A:$B,2,FALSE)*D255,0)</f>
        <v/>
      </c>
      <c r="I255" s="3">
        <f>IF(C255="",0,IFERROR(VLOOKUP(C255,Settings!$A$2:$F$5,2,FALSE)+(E255*D255+F255)*VLOOKUP(C255,Settings!$A$2:$F$5,3,FALSE)/100+(E255*D255+F255)*VLOOKUP(C255,Settings!$A$2:$F$5,4,FALSE)/100+VLOOKUP(C255,Settings!$A$2:$F$5,5,FALSE)+VLOOKUP(C255,Settings!$A$2:$F$5,6,FALSE),0))</f>
        <v/>
      </c>
      <c r="J255" s="3">
        <f>IF(B255="","",IF(ISNA(MATCH(B255,Inventory!$A$2:$A$201,0)),"Check product",E255*D255+F255-I255-G255-H255))</f>
        <v/>
      </c>
      <c r="K255" s="4">
        <f>IF(OR(B255="",NOT(ISNUMBER(J255)),E255*D255+F255=0),"",J255/(E255*D255+F255))</f>
        <v/>
      </c>
    </row>
    <row r="256">
      <c r="A256" s="8" t="n"/>
      <c r="B256" s="6" t="n"/>
      <c r="C256" s="6" t="n"/>
      <c r="D256" s="6" t="n"/>
      <c r="E256" s="7" t="n"/>
      <c r="F256" s="7" t="n"/>
      <c r="G256" s="7" t="n"/>
      <c r="H256" s="3">
        <f>IFERROR(VLOOKUP(B256,Inventory!$A:$B,2,FALSE)*D256,0)</f>
        <v/>
      </c>
      <c r="I256" s="3">
        <f>IF(C256="",0,IFERROR(VLOOKUP(C256,Settings!$A$2:$F$5,2,FALSE)+(E256*D256+F256)*VLOOKUP(C256,Settings!$A$2:$F$5,3,FALSE)/100+(E256*D256+F256)*VLOOKUP(C256,Settings!$A$2:$F$5,4,FALSE)/100+VLOOKUP(C256,Settings!$A$2:$F$5,5,FALSE)+VLOOKUP(C256,Settings!$A$2:$F$5,6,FALSE),0))</f>
        <v/>
      </c>
      <c r="J256" s="3">
        <f>IF(B256="","",IF(ISNA(MATCH(B256,Inventory!$A$2:$A$201,0)),"Check product",E256*D256+F256-I256-G256-H256))</f>
        <v/>
      </c>
      <c r="K256" s="4">
        <f>IF(OR(B256="",NOT(ISNUMBER(J256)),E256*D256+F256=0),"",J256/(E256*D256+F256))</f>
        <v/>
      </c>
    </row>
    <row r="257">
      <c r="A257" s="8" t="n"/>
      <c r="B257" s="6" t="n"/>
      <c r="C257" s="6" t="n"/>
      <c r="D257" s="6" t="n"/>
      <c r="E257" s="7" t="n"/>
      <c r="F257" s="7" t="n"/>
      <c r="G257" s="7" t="n"/>
      <c r="H257" s="3">
        <f>IFERROR(VLOOKUP(B257,Inventory!$A:$B,2,FALSE)*D257,0)</f>
        <v/>
      </c>
      <c r="I257" s="3">
        <f>IF(C257="",0,IFERROR(VLOOKUP(C257,Settings!$A$2:$F$5,2,FALSE)+(E257*D257+F257)*VLOOKUP(C257,Settings!$A$2:$F$5,3,FALSE)/100+(E257*D257+F257)*VLOOKUP(C257,Settings!$A$2:$F$5,4,FALSE)/100+VLOOKUP(C257,Settings!$A$2:$F$5,5,FALSE)+VLOOKUP(C257,Settings!$A$2:$F$5,6,FALSE),0))</f>
        <v/>
      </c>
      <c r="J257" s="3">
        <f>IF(B257="","",IF(ISNA(MATCH(B257,Inventory!$A$2:$A$201,0)),"Check product",E257*D257+F257-I257-G257-H257))</f>
        <v/>
      </c>
      <c r="K257" s="4">
        <f>IF(OR(B257="",NOT(ISNUMBER(J257)),E257*D257+F257=0),"",J257/(E257*D257+F257))</f>
        <v/>
      </c>
    </row>
    <row r="258">
      <c r="A258" s="8" t="n"/>
      <c r="B258" s="6" t="n"/>
      <c r="C258" s="6" t="n"/>
      <c r="D258" s="6" t="n"/>
      <c r="E258" s="7" t="n"/>
      <c r="F258" s="7" t="n"/>
      <c r="G258" s="7" t="n"/>
      <c r="H258" s="3">
        <f>IFERROR(VLOOKUP(B258,Inventory!$A:$B,2,FALSE)*D258,0)</f>
        <v/>
      </c>
      <c r="I258" s="3">
        <f>IF(C258="",0,IFERROR(VLOOKUP(C258,Settings!$A$2:$F$5,2,FALSE)+(E258*D258+F258)*VLOOKUP(C258,Settings!$A$2:$F$5,3,FALSE)/100+(E258*D258+F258)*VLOOKUP(C258,Settings!$A$2:$F$5,4,FALSE)/100+VLOOKUP(C258,Settings!$A$2:$F$5,5,FALSE)+VLOOKUP(C258,Settings!$A$2:$F$5,6,FALSE),0))</f>
        <v/>
      </c>
      <c r="J258" s="3">
        <f>IF(B258="","",IF(ISNA(MATCH(B258,Inventory!$A$2:$A$201,0)),"Check product",E258*D258+F258-I258-G258-H258))</f>
        <v/>
      </c>
      <c r="K258" s="4">
        <f>IF(OR(B258="",NOT(ISNUMBER(J258)),E258*D258+F258=0),"",J258/(E258*D258+F258))</f>
        <v/>
      </c>
    </row>
    <row r="259">
      <c r="A259" s="8" t="n"/>
      <c r="B259" s="6" t="n"/>
      <c r="C259" s="6" t="n"/>
      <c r="D259" s="6" t="n"/>
      <c r="E259" s="7" t="n"/>
      <c r="F259" s="7" t="n"/>
      <c r="G259" s="7" t="n"/>
      <c r="H259" s="3">
        <f>IFERROR(VLOOKUP(B259,Inventory!$A:$B,2,FALSE)*D259,0)</f>
        <v/>
      </c>
      <c r="I259" s="3">
        <f>IF(C259="",0,IFERROR(VLOOKUP(C259,Settings!$A$2:$F$5,2,FALSE)+(E259*D259+F259)*VLOOKUP(C259,Settings!$A$2:$F$5,3,FALSE)/100+(E259*D259+F259)*VLOOKUP(C259,Settings!$A$2:$F$5,4,FALSE)/100+VLOOKUP(C259,Settings!$A$2:$F$5,5,FALSE)+VLOOKUP(C259,Settings!$A$2:$F$5,6,FALSE),0))</f>
        <v/>
      </c>
      <c r="J259" s="3">
        <f>IF(B259="","",IF(ISNA(MATCH(B259,Inventory!$A$2:$A$201,0)),"Check product",E259*D259+F259-I259-G259-H259))</f>
        <v/>
      </c>
      <c r="K259" s="4">
        <f>IF(OR(B259="",NOT(ISNUMBER(J259)),E259*D259+F259=0),"",J259/(E259*D259+F259))</f>
        <v/>
      </c>
    </row>
    <row r="260">
      <c r="A260" s="8" t="n"/>
      <c r="B260" s="6" t="n"/>
      <c r="C260" s="6" t="n"/>
      <c r="D260" s="6" t="n"/>
      <c r="E260" s="7" t="n"/>
      <c r="F260" s="7" t="n"/>
      <c r="G260" s="7" t="n"/>
      <c r="H260" s="3">
        <f>IFERROR(VLOOKUP(B260,Inventory!$A:$B,2,FALSE)*D260,0)</f>
        <v/>
      </c>
      <c r="I260" s="3">
        <f>IF(C260="",0,IFERROR(VLOOKUP(C260,Settings!$A$2:$F$5,2,FALSE)+(E260*D260+F260)*VLOOKUP(C260,Settings!$A$2:$F$5,3,FALSE)/100+(E260*D260+F260)*VLOOKUP(C260,Settings!$A$2:$F$5,4,FALSE)/100+VLOOKUP(C260,Settings!$A$2:$F$5,5,FALSE)+VLOOKUP(C260,Settings!$A$2:$F$5,6,FALSE),0))</f>
        <v/>
      </c>
      <c r="J260" s="3">
        <f>IF(B260="","",IF(ISNA(MATCH(B260,Inventory!$A$2:$A$201,0)),"Check product",E260*D260+F260-I260-G260-H260))</f>
        <v/>
      </c>
      <c r="K260" s="4">
        <f>IF(OR(B260="",NOT(ISNUMBER(J260)),E260*D260+F260=0),"",J260/(E260*D260+F260))</f>
        <v/>
      </c>
    </row>
    <row r="261">
      <c r="A261" s="8" t="n"/>
      <c r="B261" s="6" t="n"/>
      <c r="C261" s="6" t="n"/>
      <c r="D261" s="6" t="n"/>
      <c r="E261" s="7" t="n"/>
      <c r="F261" s="7" t="n"/>
      <c r="G261" s="7" t="n"/>
      <c r="H261" s="3">
        <f>IFERROR(VLOOKUP(B261,Inventory!$A:$B,2,FALSE)*D261,0)</f>
        <v/>
      </c>
      <c r="I261" s="3">
        <f>IF(C261="",0,IFERROR(VLOOKUP(C261,Settings!$A$2:$F$5,2,FALSE)+(E261*D261+F261)*VLOOKUP(C261,Settings!$A$2:$F$5,3,FALSE)/100+(E261*D261+F261)*VLOOKUP(C261,Settings!$A$2:$F$5,4,FALSE)/100+VLOOKUP(C261,Settings!$A$2:$F$5,5,FALSE)+VLOOKUP(C261,Settings!$A$2:$F$5,6,FALSE),0))</f>
        <v/>
      </c>
      <c r="J261" s="3">
        <f>IF(B261="","",IF(ISNA(MATCH(B261,Inventory!$A$2:$A$201,0)),"Check product",E261*D261+F261-I261-G261-H261))</f>
        <v/>
      </c>
      <c r="K261" s="4">
        <f>IF(OR(B261="",NOT(ISNUMBER(J261)),E261*D261+F261=0),"",J261/(E261*D261+F261))</f>
        <v/>
      </c>
    </row>
    <row r="262">
      <c r="A262" s="8" t="n"/>
      <c r="B262" s="6" t="n"/>
      <c r="C262" s="6" t="n"/>
      <c r="D262" s="6" t="n"/>
      <c r="E262" s="7" t="n"/>
      <c r="F262" s="7" t="n"/>
      <c r="G262" s="7" t="n"/>
      <c r="H262" s="3">
        <f>IFERROR(VLOOKUP(B262,Inventory!$A:$B,2,FALSE)*D262,0)</f>
        <v/>
      </c>
      <c r="I262" s="3">
        <f>IF(C262="",0,IFERROR(VLOOKUP(C262,Settings!$A$2:$F$5,2,FALSE)+(E262*D262+F262)*VLOOKUP(C262,Settings!$A$2:$F$5,3,FALSE)/100+(E262*D262+F262)*VLOOKUP(C262,Settings!$A$2:$F$5,4,FALSE)/100+VLOOKUP(C262,Settings!$A$2:$F$5,5,FALSE)+VLOOKUP(C262,Settings!$A$2:$F$5,6,FALSE),0))</f>
        <v/>
      </c>
      <c r="J262" s="3">
        <f>IF(B262="","",IF(ISNA(MATCH(B262,Inventory!$A$2:$A$201,0)),"Check product",E262*D262+F262-I262-G262-H262))</f>
        <v/>
      </c>
      <c r="K262" s="4">
        <f>IF(OR(B262="",NOT(ISNUMBER(J262)),E262*D262+F262=0),"",J262/(E262*D262+F262))</f>
        <v/>
      </c>
    </row>
    <row r="263">
      <c r="A263" s="8" t="n"/>
      <c r="B263" s="6" t="n"/>
      <c r="C263" s="6" t="n"/>
      <c r="D263" s="6" t="n"/>
      <c r="E263" s="7" t="n"/>
      <c r="F263" s="7" t="n"/>
      <c r="G263" s="7" t="n"/>
      <c r="H263" s="3">
        <f>IFERROR(VLOOKUP(B263,Inventory!$A:$B,2,FALSE)*D263,0)</f>
        <v/>
      </c>
      <c r="I263" s="3">
        <f>IF(C263="",0,IFERROR(VLOOKUP(C263,Settings!$A$2:$F$5,2,FALSE)+(E263*D263+F263)*VLOOKUP(C263,Settings!$A$2:$F$5,3,FALSE)/100+(E263*D263+F263)*VLOOKUP(C263,Settings!$A$2:$F$5,4,FALSE)/100+VLOOKUP(C263,Settings!$A$2:$F$5,5,FALSE)+VLOOKUP(C263,Settings!$A$2:$F$5,6,FALSE),0))</f>
        <v/>
      </c>
      <c r="J263" s="3">
        <f>IF(B263="","",IF(ISNA(MATCH(B263,Inventory!$A$2:$A$201,0)),"Check product",E263*D263+F263-I263-G263-H263))</f>
        <v/>
      </c>
      <c r="K263" s="4">
        <f>IF(OR(B263="",NOT(ISNUMBER(J263)),E263*D263+F263=0),"",J263/(E263*D263+F263))</f>
        <v/>
      </c>
    </row>
    <row r="264">
      <c r="A264" s="8" t="n"/>
      <c r="B264" s="6" t="n"/>
      <c r="C264" s="6" t="n"/>
      <c r="D264" s="6" t="n"/>
      <c r="E264" s="7" t="n"/>
      <c r="F264" s="7" t="n"/>
      <c r="G264" s="7" t="n"/>
      <c r="H264" s="3">
        <f>IFERROR(VLOOKUP(B264,Inventory!$A:$B,2,FALSE)*D264,0)</f>
        <v/>
      </c>
      <c r="I264" s="3">
        <f>IF(C264="",0,IFERROR(VLOOKUP(C264,Settings!$A$2:$F$5,2,FALSE)+(E264*D264+F264)*VLOOKUP(C264,Settings!$A$2:$F$5,3,FALSE)/100+(E264*D264+F264)*VLOOKUP(C264,Settings!$A$2:$F$5,4,FALSE)/100+VLOOKUP(C264,Settings!$A$2:$F$5,5,FALSE)+VLOOKUP(C264,Settings!$A$2:$F$5,6,FALSE),0))</f>
        <v/>
      </c>
      <c r="J264" s="3">
        <f>IF(B264="","",IF(ISNA(MATCH(B264,Inventory!$A$2:$A$201,0)),"Check product",E264*D264+F264-I264-G264-H264))</f>
        <v/>
      </c>
      <c r="K264" s="4">
        <f>IF(OR(B264="",NOT(ISNUMBER(J264)),E264*D264+F264=0),"",J264/(E264*D264+F264))</f>
        <v/>
      </c>
    </row>
    <row r="265">
      <c r="A265" s="8" t="n"/>
      <c r="B265" s="6" t="n"/>
      <c r="C265" s="6" t="n"/>
      <c r="D265" s="6" t="n"/>
      <c r="E265" s="7" t="n"/>
      <c r="F265" s="7" t="n"/>
      <c r="G265" s="7" t="n"/>
      <c r="H265" s="3">
        <f>IFERROR(VLOOKUP(B265,Inventory!$A:$B,2,FALSE)*D265,0)</f>
        <v/>
      </c>
      <c r="I265" s="3">
        <f>IF(C265="",0,IFERROR(VLOOKUP(C265,Settings!$A$2:$F$5,2,FALSE)+(E265*D265+F265)*VLOOKUP(C265,Settings!$A$2:$F$5,3,FALSE)/100+(E265*D265+F265)*VLOOKUP(C265,Settings!$A$2:$F$5,4,FALSE)/100+VLOOKUP(C265,Settings!$A$2:$F$5,5,FALSE)+VLOOKUP(C265,Settings!$A$2:$F$5,6,FALSE),0))</f>
        <v/>
      </c>
      <c r="J265" s="3">
        <f>IF(B265="","",IF(ISNA(MATCH(B265,Inventory!$A$2:$A$201,0)),"Check product",E265*D265+F265-I265-G265-H265))</f>
        <v/>
      </c>
      <c r="K265" s="4">
        <f>IF(OR(B265="",NOT(ISNUMBER(J265)),E265*D265+F265=0),"",J265/(E265*D265+F265))</f>
        <v/>
      </c>
    </row>
    <row r="266">
      <c r="A266" s="8" t="n"/>
      <c r="B266" s="6" t="n"/>
      <c r="C266" s="6" t="n"/>
      <c r="D266" s="6" t="n"/>
      <c r="E266" s="7" t="n"/>
      <c r="F266" s="7" t="n"/>
      <c r="G266" s="7" t="n"/>
      <c r="H266" s="3">
        <f>IFERROR(VLOOKUP(B266,Inventory!$A:$B,2,FALSE)*D266,0)</f>
        <v/>
      </c>
      <c r="I266" s="3">
        <f>IF(C266="",0,IFERROR(VLOOKUP(C266,Settings!$A$2:$F$5,2,FALSE)+(E266*D266+F266)*VLOOKUP(C266,Settings!$A$2:$F$5,3,FALSE)/100+(E266*D266+F266)*VLOOKUP(C266,Settings!$A$2:$F$5,4,FALSE)/100+VLOOKUP(C266,Settings!$A$2:$F$5,5,FALSE)+VLOOKUP(C266,Settings!$A$2:$F$5,6,FALSE),0))</f>
        <v/>
      </c>
      <c r="J266" s="3">
        <f>IF(B266="","",IF(ISNA(MATCH(B266,Inventory!$A$2:$A$201,0)),"Check product",E266*D266+F266-I266-G266-H266))</f>
        <v/>
      </c>
      <c r="K266" s="4">
        <f>IF(OR(B266="",NOT(ISNUMBER(J266)),E266*D266+F266=0),"",J266/(E266*D266+F266))</f>
        <v/>
      </c>
    </row>
    <row r="267">
      <c r="A267" s="8" t="n"/>
      <c r="B267" s="6" t="n"/>
      <c r="C267" s="6" t="n"/>
      <c r="D267" s="6" t="n"/>
      <c r="E267" s="7" t="n"/>
      <c r="F267" s="7" t="n"/>
      <c r="G267" s="7" t="n"/>
      <c r="H267" s="3">
        <f>IFERROR(VLOOKUP(B267,Inventory!$A:$B,2,FALSE)*D267,0)</f>
        <v/>
      </c>
      <c r="I267" s="3">
        <f>IF(C267="",0,IFERROR(VLOOKUP(C267,Settings!$A$2:$F$5,2,FALSE)+(E267*D267+F267)*VLOOKUP(C267,Settings!$A$2:$F$5,3,FALSE)/100+(E267*D267+F267)*VLOOKUP(C267,Settings!$A$2:$F$5,4,FALSE)/100+VLOOKUP(C267,Settings!$A$2:$F$5,5,FALSE)+VLOOKUP(C267,Settings!$A$2:$F$5,6,FALSE),0))</f>
        <v/>
      </c>
      <c r="J267" s="3">
        <f>IF(B267="","",IF(ISNA(MATCH(B267,Inventory!$A$2:$A$201,0)),"Check product",E267*D267+F267-I267-G267-H267))</f>
        <v/>
      </c>
      <c r="K267" s="4">
        <f>IF(OR(B267="",NOT(ISNUMBER(J267)),E267*D267+F267=0),"",J267/(E267*D267+F267))</f>
        <v/>
      </c>
    </row>
    <row r="268">
      <c r="A268" s="8" t="n"/>
      <c r="B268" s="6" t="n"/>
      <c r="C268" s="6" t="n"/>
      <c r="D268" s="6" t="n"/>
      <c r="E268" s="7" t="n"/>
      <c r="F268" s="7" t="n"/>
      <c r="G268" s="7" t="n"/>
      <c r="H268" s="3">
        <f>IFERROR(VLOOKUP(B268,Inventory!$A:$B,2,FALSE)*D268,0)</f>
        <v/>
      </c>
      <c r="I268" s="3">
        <f>IF(C268="",0,IFERROR(VLOOKUP(C268,Settings!$A$2:$F$5,2,FALSE)+(E268*D268+F268)*VLOOKUP(C268,Settings!$A$2:$F$5,3,FALSE)/100+(E268*D268+F268)*VLOOKUP(C268,Settings!$A$2:$F$5,4,FALSE)/100+VLOOKUP(C268,Settings!$A$2:$F$5,5,FALSE)+VLOOKUP(C268,Settings!$A$2:$F$5,6,FALSE),0))</f>
        <v/>
      </c>
      <c r="J268" s="3">
        <f>IF(B268="","",IF(ISNA(MATCH(B268,Inventory!$A$2:$A$201,0)),"Check product",E268*D268+F268-I268-G268-H268))</f>
        <v/>
      </c>
      <c r="K268" s="4">
        <f>IF(OR(B268="",NOT(ISNUMBER(J268)),E268*D268+F268=0),"",J268/(E268*D268+F268))</f>
        <v/>
      </c>
    </row>
    <row r="269">
      <c r="A269" s="8" t="n"/>
      <c r="B269" s="6" t="n"/>
      <c r="C269" s="6" t="n"/>
      <c r="D269" s="6" t="n"/>
      <c r="E269" s="7" t="n"/>
      <c r="F269" s="7" t="n"/>
      <c r="G269" s="7" t="n"/>
      <c r="H269" s="3">
        <f>IFERROR(VLOOKUP(B269,Inventory!$A:$B,2,FALSE)*D269,0)</f>
        <v/>
      </c>
      <c r="I269" s="3">
        <f>IF(C269="",0,IFERROR(VLOOKUP(C269,Settings!$A$2:$F$5,2,FALSE)+(E269*D269+F269)*VLOOKUP(C269,Settings!$A$2:$F$5,3,FALSE)/100+(E269*D269+F269)*VLOOKUP(C269,Settings!$A$2:$F$5,4,FALSE)/100+VLOOKUP(C269,Settings!$A$2:$F$5,5,FALSE)+VLOOKUP(C269,Settings!$A$2:$F$5,6,FALSE),0))</f>
        <v/>
      </c>
      <c r="J269" s="3">
        <f>IF(B269="","",IF(ISNA(MATCH(B269,Inventory!$A$2:$A$201,0)),"Check product",E269*D269+F269-I269-G269-H269))</f>
        <v/>
      </c>
      <c r="K269" s="4">
        <f>IF(OR(B269="",NOT(ISNUMBER(J269)),E269*D269+F269=0),"",J269/(E269*D269+F269))</f>
        <v/>
      </c>
    </row>
    <row r="270">
      <c r="A270" s="8" t="n"/>
      <c r="B270" s="6" t="n"/>
      <c r="C270" s="6" t="n"/>
      <c r="D270" s="6" t="n"/>
      <c r="E270" s="7" t="n"/>
      <c r="F270" s="7" t="n"/>
      <c r="G270" s="7" t="n"/>
      <c r="H270" s="3">
        <f>IFERROR(VLOOKUP(B270,Inventory!$A:$B,2,FALSE)*D270,0)</f>
        <v/>
      </c>
      <c r="I270" s="3">
        <f>IF(C270="",0,IFERROR(VLOOKUP(C270,Settings!$A$2:$F$5,2,FALSE)+(E270*D270+F270)*VLOOKUP(C270,Settings!$A$2:$F$5,3,FALSE)/100+(E270*D270+F270)*VLOOKUP(C270,Settings!$A$2:$F$5,4,FALSE)/100+VLOOKUP(C270,Settings!$A$2:$F$5,5,FALSE)+VLOOKUP(C270,Settings!$A$2:$F$5,6,FALSE),0))</f>
        <v/>
      </c>
      <c r="J270" s="3">
        <f>IF(B270="","",IF(ISNA(MATCH(B270,Inventory!$A$2:$A$201,0)),"Check product",E270*D270+F270-I270-G270-H270))</f>
        <v/>
      </c>
      <c r="K270" s="4">
        <f>IF(OR(B270="",NOT(ISNUMBER(J270)),E270*D270+F270=0),"",J270/(E270*D270+F270))</f>
        <v/>
      </c>
    </row>
    <row r="271">
      <c r="A271" s="8" t="n"/>
      <c r="B271" s="6" t="n"/>
      <c r="C271" s="6" t="n"/>
      <c r="D271" s="6" t="n"/>
      <c r="E271" s="7" t="n"/>
      <c r="F271" s="7" t="n"/>
      <c r="G271" s="7" t="n"/>
      <c r="H271" s="3">
        <f>IFERROR(VLOOKUP(B271,Inventory!$A:$B,2,FALSE)*D271,0)</f>
        <v/>
      </c>
      <c r="I271" s="3">
        <f>IF(C271="",0,IFERROR(VLOOKUP(C271,Settings!$A$2:$F$5,2,FALSE)+(E271*D271+F271)*VLOOKUP(C271,Settings!$A$2:$F$5,3,FALSE)/100+(E271*D271+F271)*VLOOKUP(C271,Settings!$A$2:$F$5,4,FALSE)/100+VLOOKUP(C271,Settings!$A$2:$F$5,5,FALSE)+VLOOKUP(C271,Settings!$A$2:$F$5,6,FALSE),0))</f>
        <v/>
      </c>
      <c r="J271" s="3">
        <f>IF(B271="","",IF(ISNA(MATCH(B271,Inventory!$A$2:$A$201,0)),"Check product",E271*D271+F271-I271-G271-H271))</f>
        <v/>
      </c>
      <c r="K271" s="4">
        <f>IF(OR(B271="",NOT(ISNUMBER(J271)),E271*D271+F271=0),"",J271/(E271*D271+F271))</f>
        <v/>
      </c>
    </row>
    <row r="272">
      <c r="A272" s="8" t="n"/>
      <c r="B272" s="6" t="n"/>
      <c r="C272" s="6" t="n"/>
      <c r="D272" s="6" t="n"/>
      <c r="E272" s="7" t="n"/>
      <c r="F272" s="7" t="n"/>
      <c r="G272" s="7" t="n"/>
      <c r="H272" s="3">
        <f>IFERROR(VLOOKUP(B272,Inventory!$A:$B,2,FALSE)*D272,0)</f>
        <v/>
      </c>
      <c r="I272" s="3">
        <f>IF(C272="",0,IFERROR(VLOOKUP(C272,Settings!$A$2:$F$5,2,FALSE)+(E272*D272+F272)*VLOOKUP(C272,Settings!$A$2:$F$5,3,FALSE)/100+(E272*D272+F272)*VLOOKUP(C272,Settings!$A$2:$F$5,4,FALSE)/100+VLOOKUP(C272,Settings!$A$2:$F$5,5,FALSE)+VLOOKUP(C272,Settings!$A$2:$F$5,6,FALSE),0))</f>
        <v/>
      </c>
      <c r="J272" s="3">
        <f>IF(B272="","",IF(ISNA(MATCH(B272,Inventory!$A$2:$A$201,0)),"Check product",E272*D272+F272-I272-G272-H272))</f>
        <v/>
      </c>
      <c r="K272" s="4">
        <f>IF(OR(B272="",NOT(ISNUMBER(J272)),E272*D272+F272=0),"",J272/(E272*D272+F272))</f>
        <v/>
      </c>
    </row>
    <row r="273">
      <c r="A273" s="8" t="n"/>
      <c r="B273" s="6" t="n"/>
      <c r="C273" s="6" t="n"/>
      <c r="D273" s="6" t="n"/>
      <c r="E273" s="7" t="n"/>
      <c r="F273" s="7" t="n"/>
      <c r="G273" s="7" t="n"/>
      <c r="H273" s="3">
        <f>IFERROR(VLOOKUP(B273,Inventory!$A:$B,2,FALSE)*D273,0)</f>
        <v/>
      </c>
      <c r="I273" s="3">
        <f>IF(C273="",0,IFERROR(VLOOKUP(C273,Settings!$A$2:$F$5,2,FALSE)+(E273*D273+F273)*VLOOKUP(C273,Settings!$A$2:$F$5,3,FALSE)/100+(E273*D273+F273)*VLOOKUP(C273,Settings!$A$2:$F$5,4,FALSE)/100+VLOOKUP(C273,Settings!$A$2:$F$5,5,FALSE)+VLOOKUP(C273,Settings!$A$2:$F$5,6,FALSE),0))</f>
        <v/>
      </c>
      <c r="J273" s="3">
        <f>IF(B273="","",IF(ISNA(MATCH(B273,Inventory!$A$2:$A$201,0)),"Check product",E273*D273+F273-I273-G273-H273))</f>
        <v/>
      </c>
      <c r="K273" s="4">
        <f>IF(OR(B273="",NOT(ISNUMBER(J273)),E273*D273+F273=0),"",J273/(E273*D273+F273))</f>
        <v/>
      </c>
    </row>
    <row r="274">
      <c r="A274" s="8" t="n"/>
      <c r="B274" s="6" t="n"/>
      <c r="C274" s="6" t="n"/>
      <c r="D274" s="6" t="n"/>
      <c r="E274" s="7" t="n"/>
      <c r="F274" s="7" t="n"/>
      <c r="G274" s="7" t="n"/>
      <c r="H274" s="3">
        <f>IFERROR(VLOOKUP(B274,Inventory!$A:$B,2,FALSE)*D274,0)</f>
        <v/>
      </c>
      <c r="I274" s="3">
        <f>IF(C274="",0,IFERROR(VLOOKUP(C274,Settings!$A$2:$F$5,2,FALSE)+(E274*D274+F274)*VLOOKUP(C274,Settings!$A$2:$F$5,3,FALSE)/100+(E274*D274+F274)*VLOOKUP(C274,Settings!$A$2:$F$5,4,FALSE)/100+VLOOKUP(C274,Settings!$A$2:$F$5,5,FALSE)+VLOOKUP(C274,Settings!$A$2:$F$5,6,FALSE),0))</f>
        <v/>
      </c>
      <c r="J274" s="3">
        <f>IF(B274="","",IF(ISNA(MATCH(B274,Inventory!$A$2:$A$201,0)),"Check product",E274*D274+F274-I274-G274-H274))</f>
        <v/>
      </c>
      <c r="K274" s="4">
        <f>IF(OR(B274="",NOT(ISNUMBER(J274)),E274*D274+F274=0),"",J274/(E274*D274+F274))</f>
        <v/>
      </c>
    </row>
    <row r="275">
      <c r="A275" s="8" t="n"/>
      <c r="B275" s="6" t="n"/>
      <c r="C275" s="6" t="n"/>
      <c r="D275" s="6" t="n"/>
      <c r="E275" s="7" t="n"/>
      <c r="F275" s="7" t="n"/>
      <c r="G275" s="7" t="n"/>
      <c r="H275" s="3">
        <f>IFERROR(VLOOKUP(B275,Inventory!$A:$B,2,FALSE)*D275,0)</f>
        <v/>
      </c>
      <c r="I275" s="3">
        <f>IF(C275="",0,IFERROR(VLOOKUP(C275,Settings!$A$2:$F$5,2,FALSE)+(E275*D275+F275)*VLOOKUP(C275,Settings!$A$2:$F$5,3,FALSE)/100+(E275*D275+F275)*VLOOKUP(C275,Settings!$A$2:$F$5,4,FALSE)/100+VLOOKUP(C275,Settings!$A$2:$F$5,5,FALSE)+VLOOKUP(C275,Settings!$A$2:$F$5,6,FALSE),0))</f>
        <v/>
      </c>
      <c r="J275" s="3">
        <f>IF(B275="","",IF(ISNA(MATCH(B275,Inventory!$A$2:$A$201,0)),"Check product",E275*D275+F275-I275-G275-H275))</f>
        <v/>
      </c>
      <c r="K275" s="4">
        <f>IF(OR(B275="",NOT(ISNUMBER(J275)),E275*D275+F275=0),"",J275/(E275*D275+F275))</f>
        <v/>
      </c>
    </row>
    <row r="276">
      <c r="A276" s="8" t="n"/>
      <c r="B276" s="6" t="n"/>
      <c r="C276" s="6" t="n"/>
      <c r="D276" s="6" t="n"/>
      <c r="E276" s="7" t="n"/>
      <c r="F276" s="7" t="n"/>
      <c r="G276" s="7" t="n"/>
      <c r="H276" s="3">
        <f>IFERROR(VLOOKUP(B276,Inventory!$A:$B,2,FALSE)*D276,0)</f>
        <v/>
      </c>
      <c r="I276" s="3">
        <f>IF(C276="",0,IFERROR(VLOOKUP(C276,Settings!$A$2:$F$5,2,FALSE)+(E276*D276+F276)*VLOOKUP(C276,Settings!$A$2:$F$5,3,FALSE)/100+(E276*D276+F276)*VLOOKUP(C276,Settings!$A$2:$F$5,4,FALSE)/100+VLOOKUP(C276,Settings!$A$2:$F$5,5,FALSE)+VLOOKUP(C276,Settings!$A$2:$F$5,6,FALSE),0))</f>
        <v/>
      </c>
      <c r="J276" s="3">
        <f>IF(B276="","",IF(ISNA(MATCH(B276,Inventory!$A$2:$A$201,0)),"Check product",E276*D276+F276-I276-G276-H276))</f>
        <v/>
      </c>
      <c r="K276" s="4">
        <f>IF(OR(B276="",NOT(ISNUMBER(J276)),E276*D276+F276=0),"",J276/(E276*D276+F276))</f>
        <v/>
      </c>
    </row>
    <row r="277">
      <c r="A277" s="8" t="n"/>
      <c r="B277" s="6" t="n"/>
      <c r="C277" s="6" t="n"/>
      <c r="D277" s="6" t="n"/>
      <c r="E277" s="7" t="n"/>
      <c r="F277" s="7" t="n"/>
      <c r="G277" s="7" t="n"/>
      <c r="H277" s="3">
        <f>IFERROR(VLOOKUP(B277,Inventory!$A:$B,2,FALSE)*D277,0)</f>
        <v/>
      </c>
      <c r="I277" s="3">
        <f>IF(C277="",0,IFERROR(VLOOKUP(C277,Settings!$A$2:$F$5,2,FALSE)+(E277*D277+F277)*VLOOKUP(C277,Settings!$A$2:$F$5,3,FALSE)/100+(E277*D277+F277)*VLOOKUP(C277,Settings!$A$2:$F$5,4,FALSE)/100+VLOOKUP(C277,Settings!$A$2:$F$5,5,FALSE)+VLOOKUP(C277,Settings!$A$2:$F$5,6,FALSE),0))</f>
        <v/>
      </c>
      <c r="J277" s="3">
        <f>IF(B277="","",IF(ISNA(MATCH(B277,Inventory!$A$2:$A$201,0)),"Check product",E277*D277+F277-I277-G277-H277))</f>
        <v/>
      </c>
      <c r="K277" s="4">
        <f>IF(OR(B277="",NOT(ISNUMBER(J277)),E277*D277+F277=0),"",J277/(E277*D277+F277))</f>
        <v/>
      </c>
    </row>
    <row r="278">
      <c r="A278" s="8" t="n"/>
      <c r="B278" s="6" t="n"/>
      <c r="C278" s="6" t="n"/>
      <c r="D278" s="6" t="n"/>
      <c r="E278" s="7" t="n"/>
      <c r="F278" s="7" t="n"/>
      <c r="G278" s="7" t="n"/>
      <c r="H278" s="3">
        <f>IFERROR(VLOOKUP(B278,Inventory!$A:$B,2,FALSE)*D278,0)</f>
        <v/>
      </c>
      <c r="I278" s="3">
        <f>IF(C278="",0,IFERROR(VLOOKUP(C278,Settings!$A$2:$F$5,2,FALSE)+(E278*D278+F278)*VLOOKUP(C278,Settings!$A$2:$F$5,3,FALSE)/100+(E278*D278+F278)*VLOOKUP(C278,Settings!$A$2:$F$5,4,FALSE)/100+VLOOKUP(C278,Settings!$A$2:$F$5,5,FALSE)+VLOOKUP(C278,Settings!$A$2:$F$5,6,FALSE),0))</f>
        <v/>
      </c>
      <c r="J278" s="3">
        <f>IF(B278="","",IF(ISNA(MATCH(B278,Inventory!$A$2:$A$201,0)),"Check product",E278*D278+F278-I278-G278-H278))</f>
        <v/>
      </c>
      <c r="K278" s="4">
        <f>IF(OR(B278="",NOT(ISNUMBER(J278)),E278*D278+F278=0),"",J278/(E278*D278+F278))</f>
        <v/>
      </c>
    </row>
    <row r="279">
      <c r="A279" s="8" t="n"/>
      <c r="B279" s="6" t="n"/>
      <c r="C279" s="6" t="n"/>
      <c r="D279" s="6" t="n"/>
      <c r="E279" s="7" t="n"/>
      <c r="F279" s="7" t="n"/>
      <c r="G279" s="7" t="n"/>
      <c r="H279" s="3">
        <f>IFERROR(VLOOKUP(B279,Inventory!$A:$B,2,FALSE)*D279,0)</f>
        <v/>
      </c>
      <c r="I279" s="3">
        <f>IF(C279="",0,IFERROR(VLOOKUP(C279,Settings!$A$2:$F$5,2,FALSE)+(E279*D279+F279)*VLOOKUP(C279,Settings!$A$2:$F$5,3,FALSE)/100+(E279*D279+F279)*VLOOKUP(C279,Settings!$A$2:$F$5,4,FALSE)/100+VLOOKUP(C279,Settings!$A$2:$F$5,5,FALSE)+VLOOKUP(C279,Settings!$A$2:$F$5,6,FALSE),0))</f>
        <v/>
      </c>
      <c r="J279" s="3">
        <f>IF(B279="","",IF(ISNA(MATCH(B279,Inventory!$A$2:$A$201,0)),"Check product",E279*D279+F279-I279-G279-H279))</f>
        <v/>
      </c>
      <c r="K279" s="4">
        <f>IF(OR(B279="",NOT(ISNUMBER(J279)),E279*D279+F279=0),"",J279/(E279*D279+F279))</f>
        <v/>
      </c>
    </row>
    <row r="280">
      <c r="A280" s="8" t="n"/>
      <c r="B280" s="6" t="n"/>
      <c r="C280" s="6" t="n"/>
      <c r="D280" s="6" t="n"/>
      <c r="E280" s="7" t="n"/>
      <c r="F280" s="7" t="n"/>
      <c r="G280" s="7" t="n"/>
      <c r="H280" s="3">
        <f>IFERROR(VLOOKUP(B280,Inventory!$A:$B,2,FALSE)*D280,0)</f>
        <v/>
      </c>
      <c r="I280" s="3">
        <f>IF(C280="",0,IFERROR(VLOOKUP(C280,Settings!$A$2:$F$5,2,FALSE)+(E280*D280+F280)*VLOOKUP(C280,Settings!$A$2:$F$5,3,FALSE)/100+(E280*D280+F280)*VLOOKUP(C280,Settings!$A$2:$F$5,4,FALSE)/100+VLOOKUP(C280,Settings!$A$2:$F$5,5,FALSE)+VLOOKUP(C280,Settings!$A$2:$F$5,6,FALSE),0))</f>
        <v/>
      </c>
      <c r="J280" s="3">
        <f>IF(B280="","",IF(ISNA(MATCH(B280,Inventory!$A$2:$A$201,0)),"Check product",E280*D280+F280-I280-G280-H280))</f>
        <v/>
      </c>
      <c r="K280" s="4">
        <f>IF(OR(B280="",NOT(ISNUMBER(J280)),E280*D280+F280=0),"",J280/(E280*D280+F280))</f>
        <v/>
      </c>
    </row>
    <row r="281">
      <c r="A281" s="8" t="n"/>
      <c r="B281" s="6" t="n"/>
      <c r="C281" s="6" t="n"/>
      <c r="D281" s="6" t="n"/>
      <c r="E281" s="7" t="n"/>
      <c r="F281" s="7" t="n"/>
      <c r="G281" s="7" t="n"/>
      <c r="H281" s="3">
        <f>IFERROR(VLOOKUP(B281,Inventory!$A:$B,2,FALSE)*D281,0)</f>
        <v/>
      </c>
      <c r="I281" s="3">
        <f>IF(C281="",0,IFERROR(VLOOKUP(C281,Settings!$A$2:$F$5,2,FALSE)+(E281*D281+F281)*VLOOKUP(C281,Settings!$A$2:$F$5,3,FALSE)/100+(E281*D281+F281)*VLOOKUP(C281,Settings!$A$2:$F$5,4,FALSE)/100+VLOOKUP(C281,Settings!$A$2:$F$5,5,FALSE)+VLOOKUP(C281,Settings!$A$2:$F$5,6,FALSE),0))</f>
        <v/>
      </c>
      <c r="J281" s="3">
        <f>IF(B281="","",IF(ISNA(MATCH(B281,Inventory!$A$2:$A$201,0)),"Check product",E281*D281+F281-I281-G281-H281))</f>
        <v/>
      </c>
      <c r="K281" s="4">
        <f>IF(OR(B281="",NOT(ISNUMBER(J281)),E281*D281+F281=0),"",J281/(E281*D281+F281))</f>
        <v/>
      </c>
    </row>
    <row r="282">
      <c r="A282" s="8" t="n"/>
      <c r="B282" s="6" t="n"/>
      <c r="C282" s="6" t="n"/>
      <c r="D282" s="6" t="n"/>
      <c r="E282" s="7" t="n"/>
      <c r="F282" s="7" t="n"/>
      <c r="G282" s="7" t="n"/>
      <c r="H282" s="3">
        <f>IFERROR(VLOOKUP(B282,Inventory!$A:$B,2,FALSE)*D282,0)</f>
        <v/>
      </c>
      <c r="I282" s="3">
        <f>IF(C282="",0,IFERROR(VLOOKUP(C282,Settings!$A$2:$F$5,2,FALSE)+(E282*D282+F282)*VLOOKUP(C282,Settings!$A$2:$F$5,3,FALSE)/100+(E282*D282+F282)*VLOOKUP(C282,Settings!$A$2:$F$5,4,FALSE)/100+VLOOKUP(C282,Settings!$A$2:$F$5,5,FALSE)+VLOOKUP(C282,Settings!$A$2:$F$5,6,FALSE),0))</f>
        <v/>
      </c>
      <c r="J282" s="3">
        <f>IF(B282="","",IF(ISNA(MATCH(B282,Inventory!$A$2:$A$201,0)),"Check product",E282*D282+F282-I282-G282-H282))</f>
        <v/>
      </c>
      <c r="K282" s="4">
        <f>IF(OR(B282="",NOT(ISNUMBER(J282)),E282*D282+F282=0),"",J282/(E282*D282+F282))</f>
        <v/>
      </c>
    </row>
    <row r="283">
      <c r="A283" s="8" t="n"/>
      <c r="B283" s="6" t="n"/>
      <c r="C283" s="6" t="n"/>
      <c r="D283" s="6" t="n"/>
      <c r="E283" s="7" t="n"/>
      <c r="F283" s="7" t="n"/>
      <c r="G283" s="7" t="n"/>
      <c r="H283" s="3">
        <f>IFERROR(VLOOKUP(B283,Inventory!$A:$B,2,FALSE)*D283,0)</f>
        <v/>
      </c>
      <c r="I283" s="3">
        <f>IF(C283="",0,IFERROR(VLOOKUP(C283,Settings!$A$2:$F$5,2,FALSE)+(E283*D283+F283)*VLOOKUP(C283,Settings!$A$2:$F$5,3,FALSE)/100+(E283*D283+F283)*VLOOKUP(C283,Settings!$A$2:$F$5,4,FALSE)/100+VLOOKUP(C283,Settings!$A$2:$F$5,5,FALSE)+VLOOKUP(C283,Settings!$A$2:$F$5,6,FALSE),0))</f>
        <v/>
      </c>
      <c r="J283" s="3">
        <f>IF(B283="","",IF(ISNA(MATCH(B283,Inventory!$A$2:$A$201,0)),"Check product",E283*D283+F283-I283-G283-H283))</f>
        <v/>
      </c>
      <c r="K283" s="4">
        <f>IF(OR(B283="",NOT(ISNUMBER(J283)),E283*D283+F283=0),"",J283/(E283*D283+F283))</f>
        <v/>
      </c>
    </row>
    <row r="284">
      <c r="A284" s="8" t="n"/>
      <c r="B284" s="6" t="n"/>
      <c r="C284" s="6" t="n"/>
      <c r="D284" s="6" t="n"/>
      <c r="E284" s="7" t="n"/>
      <c r="F284" s="7" t="n"/>
      <c r="G284" s="7" t="n"/>
      <c r="H284" s="3">
        <f>IFERROR(VLOOKUP(B284,Inventory!$A:$B,2,FALSE)*D284,0)</f>
        <v/>
      </c>
      <c r="I284" s="3">
        <f>IF(C284="",0,IFERROR(VLOOKUP(C284,Settings!$A$2:$F$5,2,FALSE)+(E284*D284+F284)*VLOOKUP(C284,Settings!$A$2:$F$5,3,FALSE)/100+(E284*D284+F284)*VLOOKUP(C284,Settings!$A$2:$F$5,4,FALSE)/100+VLOOKUP(C284,Settings!$A$2:$F$5,5,FALSE)+VLOOKUP(C284,Settings!$A$2:$F$5,6,FALSE),0))</f>
        <v/>
      </c>
      <c r="J284" s="3">
        <f>IF(B284="","",IF(ISNA(MATCH(B284,Inventory!$A$2:$A$201,0)),"Check product",E284*D284+F284-I284-G284-H284))</f>
        <v/>
      </c>
      <c r="K284" s="4">
        <f>IF(OR(B284="",NOT(ISNUMBER(J284)),E284*D284+F284=0),"",J284/(E284*D284+F284))</f>
        <v/>
      </c>
    </row>
    <row r="285">
      <c r="A285" s="8" t="n"/>
      <c r="B285" s="6" t="n"/>
      <c r="C285" s="6" t="n"/>
      <c r="D285" s="6" t="n"/>
      <c r="E285" s="7" t="n"/>
      <c r="F285" s="7" t="n"/>
      <c r="G285" s="7" t="n"/>
      <c r="H285" s="3">
        <f>IFERROR(VLOOKUP(B285,Inventory!$A:$B,2,FALSE)*D285,0)</f>
        <v/>
      </c>
      <c r="I285" s="3">
        <f>IF(C285="",0,IFERROR(VLOOKUP(C285,Settings!$A$2:$F$5,2,FALSE)+(E285*D285+F285)*VLOOKUP(C285,Settings!$A$2:$F$5,3,FALSE)/100+(E285*D285+F285)*VLOOKUP(C285,Settings!$A$2:$F$5,4,FALSE)/100+VLOOKUP(C285,Settings!$A$2:$F$5,5,FALSE)+VLOOKUP(C285,Settings!$A$2:$F$5,6,FALSE),0))</f>
        <v/>
      </c>
      <c r="J285" s="3">
        <f>IF(B285="","",IF(ISNA(MATCH(B285,Inventory!$A$2:$A$201,0)),"Check product",E285*D285+F285-I285-G285-H285))</f>
        <v/>
      </c>
      <c r="K285" s="4">
        <f>IF(OR(B285="",NOT(ISNUMBER(J285)),E285*D285+F285=0),"",J285/(E285*D285+F285))</f>
        <v/>
      </c>
    </row>
    <row r="286">
      <c r="A286" s="8" t="n"/>
      <c r="B286" s="6" t="n"/>
      <c r="C286" s="6" t="n"/>
      <c r="D286" s="6" t="n"/>
      <c r="E286" s="7" t="n"/>
      <c r="F286" s="7" t="n"/>
      <c r="G286" s="7" t="n"/>
      <c r="H286" s="3">
        <f>IFERROR(VLOOKUP(B286,Inventory!$A:$B,2,FALSE)*D286,0)</f>
        <v/>
      </c>
      <c r="I286" s="3">
        <f>IF(C286="",0,IFERROR(VLOOKUP(C286,Settings!$A$2:$F$5,2,FALSE)+(E286*D286+F286)*VLOOKUP(C286,Settings!$A$2:$F$5,3,FALSE)/100+(E286*D286+F286)*VLOOKUP(C286,Settings!$A$2:$F$5,4,FALSE)/100+VLOOKUP(C286,Settings!$A$2:$F$5,5,FALSE)+VLOOKUP(C286,Settings!$A$2:$F$5,6,FALSE),0))</f>
        <v/>
      </c>
      <c r="J286" s="3">
        <f>IF(B286="","",IF(ISNA(MATCH(B286,Inventory!$A$2:$A$201,0)),"Check product",E286*D286+F286-I286-G286-H286))</f>
        <v/>
      </c>
      <c r="K286" s="4">
        <f>IF(OR(B286="",NOT(ISNUMBER(J286)),E286*D286+F286=0),"",J286/(E286*D286+F286))</f>
        <v/>
      </c>
    </row>
    <row r="287">
      <c r="A287" s="8" t="n"/>
      <c r="B287" s="6" t="n"/>
      <c r="C287" s="6" t="n"/>
      <c r="D287" s="6" t="n"/>
      <c r="E287" s="7" t="n"/>
      <c r="F287" s="7" t="n"/>
      <c r="G287" s="7" t="n"/>
      <c r="H287" s="3">
        <f>IFERROR(VLOOKUP(B287,Inventory!$A:$B,2,FALSE)*D287,0)</f>
        <v/>
      </c>
      <c r="I287" s="3">
        <f>IF(C287="",0,IFERROR(VLOOKUP(C287,Settings!$A$2:$F$5,2,FALSE)+(E287*D287+F287)*VLOOKUP(C287,Settings!$A$2:$F$5,3,FALSE)/100+(E287*D287+F287)*VLOOKUP(C287,Settings!$A$2:$F$5,4,FALSE)/100+VLOOKUP(C287,Settings!$A$2:$F$5,5,FALSE)+VLOOKUP(C287,Settings!$A$2:$F$5,6,FALSE),0))</f>
        <v/>
      </c>
      <c r="J287" s="3">
        <f>IF(B287="","",IF(ISNA(MATCH(B287,Inventory!$A$2:$A$201,0)),"Check product",E287*D287+F287-I287-G287-H287))</f>
        <v/>
      </c>
      <c r="K287" s="4">
        <f>IF(OR(B287="",NOT(ISNUMBER(J287)),E287*D287+F287=0),"",J287/(E287*D287+F287))</f>
        <v/>
      </c>
    </row>
    <row r="288">
      <c r="A288" s="8" t="n"/>
      <c r="B288" s="6" t="n"/>
      <c r="C288" s="6" t="n"/>
      <c r="D288" s="6" t="n"/>
      <c r="E288" s="7" t="n"/>
      <c r="F288" s="7" t="n"/>
      <c r="G288" s="7" t="n"/>
      <c r="H288" s="3">
        <f>IFERROR(VLOOKUP(B288,Inventory!$A:$B,2,FALSE)*D288,0)</f>
        <v/>
      </c>
      <c r="I288" s="3">
        <f>IF(C288="",0,IFERROR(VLOOKUP(C288,Settings!$A$2:$F$5,2,FALSE)+(E288*D288+F288)*VLOOKUP(C288,Settings!$A$2:$F$5,3,FALSE)/100+(E288*D288+F288)*VLOOKUP(C288,Settings!$A$2:$F$5,4,FALSE)/100+VLOOKUP(C288,Settings!$A$2:$F$5,5,FALSE)+VLOOKUP(C288,Settings!$A$2:$F$5,6,FALSE),0))</f>
        <v/>
      </c>
      <c r="J288" s="3">
        <f>IF(B288="","",IF(ISNA(MATCH(B288,Inventory!$A$2:$A$201,0)),"Check product",E288*D288+F288-I288-G288-H288))</f>
        <v/>
      </c>
      <c r="K288" s="4">
        <f>IF(OR(B288="",NOT(ISNUMBER(J288)),E288*D288+F288=0),"",J288/(E288*D288+F288))</f>
        <v/>
      </c>
    </row>
    <row r="289">
      <c r="A289" s="8" t="n"/>
      <c r="B289" s="6" t="n"/>
      <c r="C289" s="6" t="n"/>
      <c r="D289" s="6" t="n"/>
      <c r="E289" s="7" t="n"/>
      <c r="F289" s="7" t="n"/>
      <c r="G289" s="7" t="n"/>
      <c r="H289" s="3">
        <f>IFERROR(VLOOKUP(B289,Inventory!$A:$B,2,FALSE)*D289,0)</f>
        <v/>
      </c>
      <c r="I289" s="3">
        <f>IF(C289="",0,IFERROR(VLOOKUP(C289,Settings!$A$2:$F$5,2,FALSE)+(E289*D289+F289)*VLOOKUP(C289,Settings!$A$2:$F$5,3,FALSE)/100+(E289*D289+F289)*VLOOKUP(C289,Settings!$A$2:$F$5,4,FALSE)/100+VLOOKUP(C289,Settings!$A$2:$F$5,5,FALSE)+VLOOKUP(C289,Settings!$A$2:$F$5,6,FALSE),0))</f>
        <v/>
      </c>
      <c r="J289" s="3">
        <f>IF(B289="","",IF(ISNA(MATCH(B289,Inventory!$A$2:$A$201,0)),"Check product",E289*D289+F289-I289-G289-H289))</f>
        <v/>
      </c>
      <c r="K289" s="4">
        <f>IF(OR(B289="",NOT(ISNUMBER(J289)),E289*D289+F289=0),"",J289/(E289*D289+F289))</f>
        <v/>
      </c>
    </row>
    <row r="290">
      <c r="A290" s="8" t="n"/>
      <c r="B290" s="6" t="n"/>
      <c r="C290" s="6" t="n"/>
      <c r="D290" s="6" t="n"/>
      <c r="E290" s="7" t="n"/>
      <c r="F290" s="7" t="n"/>
      <c r="G290" s="7" t="n"/>
      <c r="H290" s="3">
        <f>IFERROR(VLOOKUP(B290,Inventory!$A:$B,2,FALSE)*D290,0)</f>
        <v/>
      </c>
      <c r="I290" s="3">
        <f>IF(C290="",0,IFERROR(VLOOKUP(C290,Settings!$A$2:$F$5,2,FALSE)+(E290*D290+F290)*VLOOKUP(C290,Settings!$A$2:$F$5,3,FALSE)/100+(E290*D290+F290)*VLOOKUP(C290,Settings!$A$2:$F$5,4,FALSE)/100+VLOOKUP(C290,Settings!$A$2:$F$5,5,FALSE)+VLOOKUP(C290,Settings!$A$2:$F$5,6,FALSE),0))</f>
        <v/>
      </c>
      <c r="J290" s="3">
        <f>IF(B290="","",IF(ISNA(MATCH(B290,Inventory!$A$2:$A$201,0)),"Check product",E290*D290+F290-I290-G290-H290))</f>
        <v/>
      </c>
      <c r="K290" s="4">
        <f>IF(OR(B290="",NOT(ISNUMBER(J290)),E290*D290+F290=0),"",J290/(E290*D290+F290))</f>
        <v/>
      </c>
    </row>
    <row r="291">
      <c r="A291" s="8" t="n"/>
      <c r="B291" s="6" t="n"/>
      <c r="C291" s="6" t="n"/>
      <c r="D291" s="6" t="n"/>
      <c r="E291" s="7" t="n"/>
      <c r="F291" s="7" t="n"/>
      <c r="G291" s="7" t="n"/>
      <c r="H291" s="3">
        <f>IFERROR(VLOOKUP(B291,Inventory!$A:$B,2,FALSE)*D291,0)</f>
        <v/>
      </c>
      <c r="I291" s="3">
        <f>IF(C291="",0,IFERROR(VLOOKUP(C291,Settings!$A$2:$F$5,2,FALSE)+(E291*D291+F291)*VLOOKUP(C291,Settings!$A$2:$F$5,3,FALSE)/100+(E291*D291+F291)*VLOOKUP(C291,Settings!$A$2:$F$5,4,FALSE)/100+VLOOKUP(C291,Settings!$A$2:$F$5,5,FALSE)+VLOOKUP(C291,Settings!$A$2:$F$5,6,FALSE),0))</f>
        <v/>
      </c>
      <c r="J291" s="3">
        <f>IF(B291="","",IF(ISNA(MATCH(B291,Inventory!$A$2:$A$201,0)),"Check product",E291*D291+F291-I291-G291-H291))</f>
        <v/>
      </c>
      <c r="K291" s="4">
        <f>IF(OR(B291="",NOT(ISNUMBER(J291)),E291*D291+F291=0),"",J291/(E291*D291+F291))</f>
        <v/>
      </c>
    </row>
    <row r="292">
      <c r="A292" s="8" t="n"/>
      <c r="B292" s="6" t="n"/>
      <c r="C292" s="6" t="n"/>
      <c r="D292" s="6" t="n"/>
      <c r="E292" s="7" t="n"/>
      <c r="F292" s="7" t="n"/>
      <c r="G292" s="7" t="n"/>
      <c r="H292" s="3">
        <f>IFERROR(VLOOKUP(B292,Inventory!$A:$B,2,FALSE)*D292,0)</f>
        <v/>
      </c>
      <c r="I292" s="3">
        <f>IF(C292="",0,IFERROR(VLOOKUP(C292,Settings!$A$2:$F$5,2,FALSE)+(E292*D292+F292)*VLOOKUP(C292,Settings!$A$2:$F$5,3,FALSE)/100+(E292*D292+F292)*VLOOKUP(C292,Settings!$A$2:$F$5,4,FALSE)/100+VLOOKUP(C292,Settings!$A$2:$F$5,5,FALSE)+VLOOKUP(C292,Settings!$A$2:$F$5,6,FALSE),0))</f>
        <v/>
      </c>
      <c r="J292" s="3">
        <f>IF(B292="","",IF(ISNA(MATCH(B292,Inventory!$A$2:$A$201,0)),"Check product",E292*D292+F292-I292-G292-H292))</f>
        <v/>
      </c>
      <c r="K292" s="4">
        <f>IF(OR(B292="",NOT(ISNUMBER(J292)),E292*D292+F292=0),"",J292/(E292*D292+F292))</f>
        <v/>
      </c>
    </row>
    <row r="293">
      <c r="A293" s="8" t="n"/>
      <c r="B293" s="6" t="n"/>
      <c r="C293" s="6" t="n"/>
      <c r="D293" s="6" t="n"/>
      <c r="E293" s="7" t="n"/>
      <c r="F293" s="7" t="n"/>
      <c r="G293" s="7" t="n"/>
      <c r="H293" s="3">
        <f>IFERROR(VLOOKUP(B293,Inventory!$A:$B,2,FALSE)*D293,0)</f>
        <v/>
      </c>
      <c r="I293" s="3">
        <f>IF(C293="",0,IFERROR(VLOOKUP(C293,Settings!$A$2:$F$5,2,FALSE)+(E293*D293+F293)*VLOOKUP(C293,Settings!$A$2:$F$5,3,FALSE)/100+(E293*D293+F293)*VLOOKUP(C293,Settings!$A$2:$F$5,4,FALSE)/100+VLOOKUP(C293,Settings!$A$2:$F$5,5,FALSE)+VLOOKUP(C293,Settings!$A$2:$F$5,6,FALSE),0))</f>
        <v/>
      </c>
      <c r="J293" s="3">
        <f>IF(B293="","",IF(ISNA(MATCH(B293,Inventory!$A$2:$A$201,0)),"Check product",E293*D293+F293-I293-G293-H293))</f>
        <v/>
      </c>
      <c r="K293" s="4">
        <f>IF(OR(B293="",NOT(ISNUMBER(J293)),E293*D293+F293=0),"",J293/(E293*D293+F293))</f>
        <v/>
      </c>
    </row>
    <row r="294">
      <c r="A294" s="8" t="n"/>
      <c r="B294" s="6" t="n"/>
      <c r="C294" s="6" t="n"/>
      <c r="D294" s="6" t="n"/>
      <c r="E294" s="7" t="n"/>
      <c r="F294" s="7" t="n"/>
      <c r="G294" s="7" t="n"/>
      <c r="H294" s="3">
        <f>IFERROR(VLOOKUP(B294,Inventory!$A:$B,2,FALSE)*D294,0)</f>
        <v/>
      </c>
      <c r="I294" s="3">
        <f>IF(C294="",0,IFERROR(VLOOKUP(C294,Settings!$A$2:$F$5,2,FALSE)+(E294*D294+F294)*VLOOKUP(C294,Settings!$A$2:$F$5,3,FALSE)/100+(E294*D294+F294)*VLOOKUP(C294,Settings!$A$2:$F$5,4,FALSE)/100+VLOOKUP(C294,Settings!$A$2:$F$5,5,FALSE)+VLOOKUP(C294,Settings!$A$2:$F$5,6,FALSE),0))</f>
        <v/>
      </c>
      <c r="J294" s="3">
        <f>IF(B294="","",IF(ISNA(MATCH(B294,Inventory!$A$2:$A$201,0)),"Check product",E294*D294+F294-I294-G294-H294))</f>
        <v/>
      </c>
      <c r="K294" s="4">
        <f>IF(OR(B294="",NOT(ISNUMBER(J294)),E294*D294+F294=0),"",J294/(E294*D294+F294))</f>
        <v/>
      </c>
    </row>
    <row r="295">
      <c r="A295" s="8" t="n"/>
      <c r="B295" s="6" t="n"/>
      <c r="C295" s="6" t="n"/>
      <c r="D295" s="6" t="n"/>
      <c r="E295" s="7" t="n"/>
      <c r="F295" s="7" t="n"/>
      <c r="G295" s="7" t="n"/>
      <c r="H295" s="3">
        <f>IFERROR(VLOOKUP(B295,Inventory!$A:$B,2,FALSE)*D295,0)</f>
        <v/>
      </c>
      <c r="I295" s="3">
        <f>IF(C295="",0,IFERROR(VLOOKUP(C295,Settings!$A$2:$F$5,2,FALSE)+(E295*D295+F295)*VLOOKUP(C295,Settings!$A$2:$F$5,3,FALSE)/100+(E295*D295+F295)*VLOOKUP(C295,Settings!$A$2:$F$5,4,FALSE)/100+VLOOKUP(C295,Settings!$A$2:$F$5,5,FALSE)+VLOOKUP(C295,Settings!$A$2:$F$5,6,FALSE),0))</f>
        <v/>
      </c>
      <c r="J295" s="3">
        <f>IF(B295="","",IF(ISNA(MATCH(B295,Inventory!$A$2:$A$201,0)),"Check product",E295*D295+F295-I295-G295-H295))</f>
        <v/>
      </c>
      <c r="K295" s="4">
        <f>IF(OR(B295="",NOT(ISNUMBER(J295)),E295*D295+F295=0),"",J295/(E295*D295+F295))</f>
        <v/>
      </c>
    </row>
    <row r="296">
      <c r="A296" s="8" t="n"/>
      <c r="B296" s="6" t="n"/>
      <c r="C296" s="6" t="n"/>
      <c r="D296" s="6" t="n"/>
      <c r="E296" s="7" t="n"/>
      <c r="F296" s="7" t="n"/>
      <c r="G296" s="7" t="n"/>
      <c r="H296" s="3">
        <f>IFERROR(VLOOKUP(B296,Inventory!$A:$B,2,FALSE)*D296,0)</f>
        <v/>
      </c>
      <c r="I296" s="3">
        <f>IF(C296="",0,IFERROR(VLOOKUP(C296,Settings!$A$2:$F$5,2,FALSE)+(E296*D296+F296)*VLOOKUP(C296,Settings!$A$2:$F$5,3,FALSE)/100+(E296*D296+F296)*VLOOKUP(C296,Settings!$A$2:$F$5,4,FALSE)/100+VLOOKUP(C296,Settings!$A$2:$F$5,5,FALSE)+VLOOKUP(C296,Settings!$A$2:$F$5,6,FALSE),0))</f>
        <v/>
      </c>
      <c r="J296" s="3">
        <f>IF(B296="","",IF(ISNA(MATCH(B296,Inventory!$A$2:$A$201,0)),"Check product",E296*D296+F296-I296-G296-H296))</f>
        <v/>
      </c>
      <c r="K296" s="4">
        <f>IF(OR(B296="",NOT(ISNUMBER(J296)),E296*D296+F296=0),"",J296/(E296*D296+F296))</f>
        <v/>
      </c>
    </row>
    <row r="297">
      <c r="A297" s="8" t="n"/>
      <c r="B297" s="6" t="n"/>
      <c r="C297" s="6" t="n"/>
      <c r="D297" s="6" t="n"/>
      <c r="E297" s="7" t="n"/>
      <c r="F297" s="7" t="n"/>
      <c r="G297" s="7" t="n"/>
      <c r="H297" s="3">
        <f>IFERROR(VLOOKUP(B297,Inventory!$A:$B,2,FALSE)*D297,0)</f>
        <v/>
      </c>
      <c r="I297" s="3">
        <f>IF(C297="",0,IFERROR(VLOOKUP(C297,Settings!$A$2:$F$5,2,FALSE)+(E297*D297+F297)*VLOOKUP(C297,Settings!$A$2:$F$5,3,FALSE)/100+(E297*D297+F297)*VLOOKUP(C297,Settings!$A$2:$F$5,4,FALSE)/100+VLOOKUP(C297,Settings!$A$2:$F$5,5,FALSE)+VLOOKUP(C297,Settings!$A$2:$F$5,6,FALSE),0))</f>
        <v/>
      </c>
      <c r="J297" s="3">
        <f>IF(B297="","",IF(ISNA(MATCH(B297,Inventory!$A$2:$A$201,0)),"Check product",E297*D297+F297-I297-G297-H297))</f>
        <v/>
      </c>
      <c r="K297" s="4">
        <f>IF(OR(B297="",NOT(ISNUMBER(J297)),E297*D297+F297=0),"",J297/(E297*D297+F297))</f>
        <v/>
      </c>
    </row>
    <row r="298">
      <c r="A298" s="8" t="n"/>
      <c r="B298" s="6" t="n"/>
      <c r="C298" s="6" t="n"/>
      <c r="D298" s="6" t="n"/>
      <c r="E298" s="7" t="n"/>
      <c r="F298" s="7" t="n"/>
      <c r="G298" s="7" t="n"/>
      <c r="H298" s="3">
        <f>IFERROR(VLOOKUP(B298,Inventory!$A:$B,2,FALSE)*D298,0)</f>
        <v/>
      </c>
      <c r="I298" s="3">
        <f>IF(C298="",0,IFERROR(VLOOKUP(C298,Settings!$A$2:$F$5,2,FALSE)+(E298*D298+F298)*VLOOKUP(C298,Settings!$A$2:$F$5,3,FALSE)/100+(E298*D298+F298)*VLOOKUP(C298,Settings!$A$2:$F$5,4,FALSE)/100+VLOOKUP(C298,Settings!$A$2:$F$5,5,FALSE)+VLOOKUP(C298,Settings!$A$2:$F$5,6,FALSE),0))</f>
        <v/>
      </c>
      <c r="J298" s="3">
        <f>IF(B298="","",IF(ISNA(MATCH(B298,Inventory!$A$2:$A$201,0)),"Check product",E298*D298+F298-I298-G298-H298))</f>
        <v/>
      </c>
      <c r="K298" s="4">
        <f>IF(OR(B298="",NOT(ISNUMBER(J298)),E298*D298+F298=0),"",J298/(E298*D298+F298))</f>
        <v/>
      </c>
    </row>
    <row r="299">
      <c r="A299" s="8" t="n"/>
      <c r="B299" s="6" t="n"/>
      <c r="C299" s="6" t="n"/>
      <c r="D299" s="6" t="n"/>
      <c r="E299" s="7" t="n"/>
      <c r="F299" s="7" t="n"/>
      <c r="G299" s="7" t="n"/>
      <c r="H299" s="3">
        <f>IFERROR(VLOOKUP(B299,Inventory!$A:$B,2,FALSE)*D299,0)</f>
        <v/>
      </c>
      <c r="I299" s="3">
        <f>IF(C299="",0,IFERROR(VLOOKUP(C299,Settings!$A$2:$F$5,2,FALSE)+(E299*D299+F299)*VLOOKUP(C299,Settings!$A$2:$F$5,3,FALSE)/100+(E299*D299+F299)*VLOOKUP(C299,Settings!$A$2:$F$5,4,FALSE)/100+VLOOKUP(C299,Settings!$A$2:$F$5,5,FALSE)+VLOOKUP(C299,Settings!$A$2:$F$5,6,FALSE),0))</f>
        <v/>
      </c>
      <c r="J299" s="3">
        <f>IF(B299="","",IF(ISNA(MATCH(B299,Inventory!$A$2:$A$201,0)),"Check product",E299*D299+F299-I299-G299-H299))</f>
        <v/>
      </c>
      <c r="K299" s="4">
        <f>IF(OR(B299="",NOT(ISNUMBER(J299)),E299*D299+F299=0),"",J299/(E299*D299+F299))</f>
        <v/>
      </c>
    </row>
    <row r="300">
      <c r="A300" s="8" t="n"/>
      <c r="B300" s="6" t="n"/>
      <c r="C300" s="6" t="n"/>
      <c r="D300" s="6" t="n"/>
      <c r="E300" s="7" t="n"/>
      <c r="F300" s="7" t="n"/>
      <c r="G300" s="7" t="n"/>
      <c r="H300" s="3">
        <f>IFERROR(VLOOKUP(B300,Inventory!$A:$B,2,FALSE)*D300,0)</f>
        <v/>
      </c>
      <c r="I300" s="3">
        <f>IF(C300="",0,IFERROR(VLOOKUP(C300,Settings!$A$2:$F$5,2,FALSE)+(E300*D300+F300)*VLOOKUP(C300,Settings!$A$2:$F$5,3,FALSE)/100+(E300*D300+F300)*VLOOKUP(C300,Settings!$A$2:$F$5,4,FALSE)/100+VLOOKUP(C300,Settings!$A$2:$F$5,5,FALSE)+VLOOKUP(C300,Settings!$A$2:$F$5,6,FALSE),0))</f>
        <v/>
      </c>
      <c r="J300" s="3">
        <f>IF(B300="","",IF(ISNA(MATCH(B300,Inventory!$A$2:$A$201,0)),"Check product",E300*D300+F300-I300-G300-H300))</f>
        <v/>
      </c>
      <c r="K300" s="4">
        <f>IF(OR(B300="",NOT(ISNUMBER(J300)),E300*D300+F300=0),"",J300/(E300*D300+F300))</f>
        <v/>
      </c>
    </row>
    <row r="301">
      <c r="A301" s="8" t="n"/>
      <c r="B301" s="6" t="n"/>
      <c r="C301" s="6" t="n"/>
      <c r="D301" s="6" t="n"/>
      <c r="E301" s="7" t="n"/>
      <c r="F301" s="7" t="n"/>
      <c r="G301" s="7" t="n"/>
      <c r="H301" s="3">
        <f>IFERROR(VLOOKUP(B301,Inventory!$A:$B,2,FALSE)*D301,0)</f>
        <v/>
      </c>
      <c r="I301" s="3">
        <f>IF(C301="",0,IFERROR(VLOOKUP(C301,Settings!$A$2:$F$5,2,FALSE)+(E301*D301+F301)*VLOOKUP(C301,Settings!$A$2:$F$5,3,FALSE)/100+(E301*D301+F301)*VLOOKUP(C301,Settings!$A$2:$F$5,4,FALSE)/100+VLOOKUP(C301,Settings!$A$2:$F$5,5,FALSE)+VLOOKUP(C301,Settings!$A$2:$F$5,6,FALSE),0))</f>
        <v/>
      </c>
      <c r="J301" s="3">
        <f>IF(B301="","",IF(ISNA(MATCH(B301,Inventory!$A$2:$A$201,0)),"Check product",E301*D301+F301-I301-G301-H301))</f>
        <v/>
      </c>
      <c r="K301" s="4">
        <f>IF(OR(B301="",NOT(ISNUMBER(J301)),E301*D301+F301=0),"",J301/(E301*D301+F301))</f>
        <v/>
      </c>
    </row>
    <row r="302">
      <c r="A302" s="8" t="n"/>
      <c r="B302" s="6" t="n"/>
      <c r="C302" s="6" t="n"/>
      <c r="D302" s="6" t="n"/>
      <c r="E302" s="7" t="n"/>
      <c r="F302" s="7" t="n"/>
      <c r="G302" s="7" t="n"/>
      <c r="H302" s="3">
        <f>IFERROR(VLOOKUP(B302,Inventory!$A:$B,2,FALSE)*D302,0)</f>
        <v/>
      </c>
      <c r="I302" s="3">
        <f>IF(C302="",0,IFERROR(VLOOKUP(C302,Settings!$A$2:$F$5,2,FALSE)+(E302*D302+F302)*VLOOKUP(C302,Settings!$A$2:$F$5,3,FALSE)/100+(E302*D302+F302)*VLOOKUP(C302,Settings!$A$2:$F$5,4,FALSE)/100+VLOOKUP(C302,Settings!$A$2:$F$5,5,FALSE)+VLOOKUP(C302,Settings!$A$2:$F$5,6,FALSE),0))</f>
        <v/>
      </c>
      <c r="J302" s="3">
        <f>IF(B302="","",IF(ISNA(MATCH(B302,Inventory!$A$2:$A$201,0)),"Check product",E302*D302+F302-I302-G302-H302))</f>
        <v/>
      </c>
      <c r="K302" s="4">
        <f>IF(OR(B302="",NOT(ISNUMBER(J302)),E302*D302+F302=0),"",J302/(E302*D302+F302))</f>
        <v/>
      </c>
    </row>
    <row r="303">
      <c r="A303" s="8" t="n"/>
      <c r="B303" s="6" t="n"/>
      <c r="C303" s="6" t="n"/>
      <c r="D303" s="6" t="n"/>
      <c r="E303" s="7" t="n"/>
      <c r="F303" s="7" t="n"/>
      <c r="G303" s="7" t="n"/>
      <c r="H303" s="3">
        <f>IFERROR(VLOOKUP(B303,Inventory!$A:$B,2,FALSE)*D303,0)</f>
        <v/>
      </c>
      <c r="I303" s="3">
        <f>IF(C303="",0,IFERROR(VLOOKUP(C303,Settings!$A$2:$F$5,2,FALSE)+(E303*D303+F303)*VLOOKUP(C303,Settings!$A$2:$F$5,3,FALSE)/100+(E303*D303+F303)*VLOOKUP(C303,Settings!$A$2:$F$5,4,FALSE)/100+VLOOKUP(C303,Settings!$A$2:$F$5,5,FALSE)+VLOOKUP(C303,Settings!$A$2:$F$5,6,FALSE),0))</f>
        <v/>
      </c>
      <c r="J303" s="3">
        <f>IF(B303="","",IF(ISNA(MATCH(B303,Inventory!$A$2:$A$201,0)),"Check product",E303*D303+F303-I303-G303-H303))</f>
        <v/>
      </c>
      <c r="K303" s="4">
        <f>IF(OR(B303="",NOT(ISNUMBER(J303)),E303*D303+F303=0),"",J303/(E303*D303+F303))</f>
        <v/>
      </c>
    </row>
    <row r="304">
      <c r="A304" s="8" t="n"/>
      <c r="B304" s="6" t="n"/>
      <c r="C304" s="6" t="n"/>
      <c r="D304" s="6" t="n"/>
      <c r="E304" s="7" t="n"/>
      <c r="F304" s="7" t="n"/>
      <c r="G304" s="7" t="n"/>
      <c r="H304" s="3">
        <f>IFERROR(VLOOKUP(B304,Inventory!$A:$B,2,FALSE)*D304,0)</f>
        <v/>
      </c>
      <c r="I304" s="3">
        <f>IF(C304="",0,IFERROR(VLOOKUP(C304,Settings!$A$2:$F$5,2,FALSE)+(E304*D304+F304)*VLOOKUP(C304,Settings!$A$2:$F$5,3,FALSE)/100+(E304*D304+F304)*VLOOKUP(C304,Settings!$A$2:$F$5,4,FALSE)/100+VLOOKUP(C304,Settings!$A$2:$F$5,5,FALSE)+VLOOKUP(C304,Settings!$A$2:$F$5,6,FALSE),0))</f>
        <v/>
      </c>
      <c r="J304" s="3">
        <f>IF(B304="","",IF(ISNA(MATCH(B304,Inventory!$A$2:$A$201,0)),"Check product",E304*D304+F304-I304-G304-H304))</f>
        <v/>
      </c>
      <c r="K304" s="4">
        <f>IF(OR(B304="",NOT(ISNUMBER(J304)),E304*D304+F304=0),"",J304/(E304*D304+F304))</f>
        <v/>
      </c>
    </row>
    <row r="305">
      <c r="A305" s="8" t="n"/>
      <c r="B305" s="6" t="n"/>
      <c r="C305" s="6" t="n"/>
      <c r="D305" s="6" t="n"/>
      <c r="E305" s="7" t="n"/>
      <c r="F305" s="7" t="n"/>
      <c r="G305" s="7" t="n"/>
      <c r="H305" s="3">
        <f>IFERROR(VLOOKUP(B305,Inventory!$A:$B,2,FALSE)*D305,0)</f>
        <v/>
      </c>
      <c r="I305" s="3">
        <f>IF(C305="",0,IFERROR(VLOOKUP(C305,Settings!$A$2:$F$5,2,FALSE)+(E305*D305+F305)*VLOOKUP(C305,Settings!$A$2:$F$5,3,FALSE)/100+(E305*D305+F305)*VLOOKUP(C305,Settings!$A$2:$F$5,4,FALSE)/100+VLOOKUP(C305,Settings!$A$2:$F$5,5,FALSE)+VLOOKUP(C305,Settings!$A$2:$F$5,6,FALSE),0))</f>
        <v/>
      </c>
      <c r="J305" s="3">
        <f>IF(B305="","",IF(ISNA(MATCH(B305,Inventory!$A$2:$A$201,0)),"Check product",E305*D305+F305-I305-G305-H305))</f>
        <v/>
      </c>
      <c r="K305" s="4">
        <f>IF(OR(B305="",NOT(ISNUMBER(J305)),E305*D305+F305=0),"",J305/(E305*D305+F305))</f>
        <v/>
      </c>
    </row>
    <row r="306">
      <c r="A306" s="8" t="n"/>
      <c r="B306" s="6" t="n"/>
      <c r="C306" s="6" t="n"/>
      <c r="D306" s="6" t="n"/>
      <c r="E306" s="7" t="n"/>
      <c r="F306" s="7" t="n"/>
      <c r="G306" s="7" t="n"/>
      <c r="H306" s="3">
        <f>IFERROR(VLOOKUP(B306,Inventory!$A:$B,2,FALSE)*D306,0)</f>
        <v/>
      </c>
      <c r="I306" s="3">
        <f>IF(C306="",0,IFERROR(VLOOKUP(C306,Settings!$A$2:$F$5,2,FALSE)+(E306*D306+F306)*VLOOKUP(C306,Settings!$A$2:$F$5,3,FALSE)/100+(E306*D306+F306)*VLOOKUP(C306,Settings!$A$2:$F$5,4,FALSE)/100+VLOOKUP(C306,Settings!$A$2:$F$5,5,FALSE)+VLOOKUP(C306,Settings!$A$2:$F$5,6,FALSE),0))</f>
        <v/>
      </c>
      <c r="J306" s="3">
        <f>IF(B306="","",IF(ISNA(MATCH(B306,Inventory!$A$2:$A$201,0)),"Check product",E306*D306+F306-I306-G306-H306))</f>
        <v/>
      </c>
      <c r="K306" s="4">
        <f>IF(OR(B306="",NOT(ISNUMBER(J306)),E306*D306+F306=0),"",J306/(E306*D306+F306))</f>
        <v/>
      </c>
    </row>
    <row r="307">
      <c r="A307" s="8" t="n"/>
      <c r="B307" s="6" t="n"/>
      <c r="C307" s="6" t="n"/>
      <c r="D307" s="6" t="n"/>
      <c r="E307" s="7" t="n"/>
      <c r="F307" s="7" t="n"/>
      <c r="G307" s="7" t="n"/>
      <c r="H307" s="3">
        <f>IFERROR(VLOOKUP(B307,Inventory!$A:$B,2,FALSE)*D307,0)</f>
        <v/>
      </c>
      <c r="I307" s="3">
        <f>IF(C307="",0,IFERROR(VLOOKUP(C307,Settings!$A$2:$F$5,2,FALSE)+(E307*D307+F307)*VLOOKUP(C307,Settings!$A$2:$F$5,3,FALSE)/100+(E307*D307+F307)*VLOOKUP(C307,Settings!$A$2:$F$5,4,FALSE)/100+VLOOKUP(C307,Settings!$A$2:$F$5,5,FALSE)+VLOOKUP(C307,Settings!$A$2:$F$5,6,FALSE),0))</f>
        <v/>
      </c>
      <c r="J307" s="3">
        <f>IF(B307="","",IF(ISNA(MATCH(B307,Inventory!$A$2:$A$201,0)),"Check product",E307*D307+F307-I307-G307-H307))</f>
        <v/>
      </c>
      <c r="K307" s="4">
        <f>IF(OR(B307="",NOT(ISNUMBER(J307)),E307*D307+F307=0),"",J307/(E307*D307+F307))</f>
        <v/>
      </c>
    </row>
    <row r="308">
      <c r="A308" s="8" t="n"/>
      <c r="B308" s="6" t="n"/>
      <c r="C308" s="6" t="n"/>
      <c r="D308" s="6" t="n"/>
      <c r="E308" s="7" t="n"/>
      <c r="F308" s="7" t="n"/>
      <c r="G308" s="7" t="n"/>
      <c r="H308" s="3">
        <f>IFERROR(VLOOKUP(B308,Inventory!$A:$B,2,FALSE)*D308,0)</f>
        <v/>
      </c>
      <c r="I308" s="3">
        <f>IF(C308="",0,IFERROR(VLOOKUP(C308,Settings!$A$2:$F$5,2,FALSE)+(E308*D308+F308)*VLOOKUP(C308,Settings!$A$2:$F$5,3,FALSE)/100+(E308*D308+F308)*VLOOKUP(C308,Settings!$A$2:$F$5,4,FALSE)/100+VLOOKUP(C308,Settings!$A$2:$F$5,5,FALSE)+VLOOKUP(C308,Settings!$A$2:$F$5,6,FALSE),0))</f>
        <v/>
      </c>
      <c r="J308" s="3">
        <f>IF(B308="","",IF(ISNA(MATCH(B308,Inventory!$A$2:$A$201,0)),"Check product",E308*D308+F308-I308-G308-H308))</f>
        <v/>
      </c>
      <c r="K308" s="4">
        <f>IF(OR(B308="",NOT(ISNUMBER(J308)),E308*D308+F308=0),"",J308/(E308*D308+F308))</f>
        <v/>
      </c>
    </row>
    <row r="309">
      <c r="A309" s="8" t="n"/>
      <c r="B309" s="6" t="n"/>
      <c r="C309" s="6" t="n"/>
      <c r="D309" s="6" t="n"/>
      <c r="E309" s="7" t="n"/>
      <c r="F309" s="7" t="n"/>
      <c r="G309" s="7" t="n"/>
      <c r="H309" s="3">
        <f>IFERROR(VLOOKUP(B309,Inventory!$A:$B,2,FALSE)*D309,0)</f>
        <v/>
      </c>
      <c r="I309" s="3">
        <f>IF(C309="",0,IFERROR(VLOOKUP(C309,Settings!$A$2:$F$5,2,FALSE)+(E309*D309+F309)*VLOOKUP(C309,Settings!$A$2:$F$5,3,FALSE)/100+(E309*D309+F309)*VLOOKUP(C309,Settings!$A$2:$F$5,4,FALSE)/100+VLOOKUP(C309,Settings!$A$2:$F$5,5,FALSE)+VLOOKUP(C309,Settings!$A$2:$F$5,6,FALSE),0))</f>
        <v/>
      </c>
      <c r="J309" s="3">
        <f>IF(B309="","",IF(ISNA(MATCH(B309,Inventory!$A$2:$A$201,0)),"Check product",E309*D309+F309-I309-G309-H309))</f>
        <v/>
      </c>
      <c r="K309" s="4">
        <f>IF(OR(B309="",NOT(ISNUMBER(J309)),E309*D309+F309=0),"",J309/(E309*D309+F309))</f>
        <v/>
      </c>
    </row>
    <row r="310">
      <c r="A310" s="8" t="n"/>
      <c r="B310" s="6" t="n"/>
      <c r="C310" s="6" t="n"/>
      <c r="D310" s="6" t="n"/>
      <c r="E310" s="7" t="n"/>
      <c r="F310" s="7" t="n"/>
      <c r="G310" s="7" t="n"/>
      <c r="H310" s="3">
        <f>IFERROR(VLOOKUP(B310,Inventory!$A:$B,2,FALSE)*D310,0)</f>
        <v/>
      </c>
      <c r="I310" s="3">
        <f>IF(C310="",0,IFERROR(VLOOKUP(C310,Settings!$A$2:$F$5,2,FALSE)+(E310*D310+F310)*VLOOKUP(C310,Settings!$A$2:$F$5,3,FALSE)/100+(E310*D310+F310)*VLOOKUP(C310,Settings!$A$2:$F$5,4,FALSE)/100+VLOOKUP(C310,Settings!$A$2:$F$5,5,FALSE)+VLOOKUP(C310,Settings!$A$2:$F$5,6,FALSE),0))</f>
        <v/>
      </c>
      <c r="J310" s="3">
        <f>IF(B310="","",IF(ISNA(MATCH(B310,Inventory!$A$2:$A$201,0)),"Check product",E310*D310+F310-I310-G310-H310))</f>
        <v/>
      </c>
      <c r="K310" s="4">
        <f>IF(OR(B310="",NOT(ISNUMBER(J310)),E310*D310+F310=0),"",J310/(E310*D310+F310))</f>
        <v/>
      </c>
    </row>
    <row r="311">
      <c r="A311" s="8" t="n"/>
      <c r="B311" s="6" t="n"/>
      <c r="C311" s="6" t="n"/>
      <c r="D311" s="6" t="n"/>
      <c r="E311" s="7" t="n"/>
      <c r="F311" s="7" t="n"/>
      <c r="G311" s="7" t="n"/>
      <c r="H311" s="3">
        <f>IFERROR(VLOOKUP(B311,Inventory!$A:$B,2,FALSE)*D311,0)</f>
        <v/>
      </c>
      <c r="I311" s="3">
        <f>IF(C311="",0,IFERROR(VLOOKUP(C311,Settings!$A$2:$F$5,2,FALSE)+(E311*D311+F311)*VLOOKUP(C311,Settings!$A$2:$F$5,3,FALSE)/100+(E311*D311+F311)*VLOOKUP(C311,Settings!$A$2:$F$5,4,FALSE)/100+VLOOKUP(C311,Settings!$A$2:$F$5,5,FALSE)+VLOOKUP(C311,Settings!$A$2:$F$5,6,FALSE),0))</f>
        <v/>
      </c>
      <c r="J311" s="3">
        <f>IF(B311="","",IF(ISNA(MATCH(B311,Inventory!$A$2:$A$201,0)),"Check product",E311*D311+F311-I311-G311-H311))</f>
        <v/>
      </c>
      <c r="K311" s="4">
        <f>IF(OR(B311="",NOT(ISNUMBER(J311)),E311*D311+F311=0),"",J311/(E311*D311+F311))</f>
        <v/>
      </c>
    </row>
    <row r="312">
      <c r="A312" s="8" t="n"/>
      <c r="B312" s="6" t="n"/>
      <c r="C312" s="6" t="n"/>
      <c r="D312" s="6" t="n"/>
      <c r="E312" s="7" t="n"/>
      <c r="F312" s="7" t="n"/>
      <c r="G312" s="7" t="n"/>
      <c r="H312" s="3">
        <f>IFERROR(VLOOKUP(B312,Inventory!$A:$B,2,FALSE)*D312,0)</f>
        <v/>
      </c>
      <c r="I312" s="3">
        <f>IF(C312="",0,IFERROR(VLOOKUP(C312,Settings!$A$2:$F$5,2,FALSE)+(E312*D312+F312)*VLOOKUP(C312,Settings!$A$2:$F$5,3,FALSE)/100+(E312*D312+F312)*VLOOKUP(C312,Settings!$A$2:$F$5,4,FALSE)/100+VLOOKUP(C312,Settings!$A$2:$F$5,5,FALSE)+VLOOKUP(C312,Settings!$A$2:$F$5,6,FALSE),0))</f>
        <v/>
      </c>
      <c r="J312" s="3">
        <f>IF(B312="","",IF(ISNA(MATCH(B312,Inventory!$A$2:$A$201,0)),"Check product",E312*D312+F312-I312-G312-H312))</f>
        <v/>
      </c>
      <c r="K312" s="4">
        <f>IF(OR(B312="",NOT(ISNUMBER(J312)),E312*D312+F312=0),"",J312/(E312*D312+F312))</f>
        <v/>
      </c>
    </row>
    <row r="313">
      <c r="A313" s="8" t="n"/>
      <c r="B313" s="6" t="n"/>
      <c r="C313" s="6" t="n"/>
      <c r="D313" s="6" t="n"/>
      <c r="E313" s="7" t="n"/>
      <c r="F313" s="7" t="n"/>
      <c r="G313" s="7" t="n"/>
      <c r="H313" s="3">
        <f>IFERROR(VLOOKUP(B313,Inventory!$A:$B,2,FALSE)*D313,0)</f>
        <v/>
      </c>
      <c r="I313" s="3">
        <f>IF(C313="",0,IFERROR(VLOOKUP(C313,Settings!$A$2:$F$5,2,FALSE)+(E313*D313+F313)*VLOOKUP(C313,Settings!$A$2:$F$5,3,FALSE)/100+(E313*D313+F313)*VLOOKUP(C313,Settings!$A$2:$F$5,4,FALSE)/100+VLOOKUP(C313,Settings!$A$2:$F$5,5,FALSE)+VLOOKUP(C313,Settings!$A$2:$F$5,6,FALSE),0))</f>
        <v/>
      </c>
      <c r="J313" s="3">
        <f>IF(B313="","",IF(ISNA(MATCH(B313,Inventory!$A$2:$A$201,0)),"Check product",E313*D313+F313-I313-G313-H313))</f>
        <v/>
      </c>
      <c r="K313" s="4">
        <f>IF(OR(B313="",NOT(ISNUMBER(J313)),E313*D313+F313=0),"",J313/(E313*D313+F313))</f>
        <v/>
      </c>
    </row>
    <row r="314">
      <c r="A314" s="8" t="n"/>
      <c r="B314" s="6" t="n"/>
      <c r="C314" s="6" t="n"/>
      <c r="D314" s="6" t="n"/>
      <c r="E314" s="7" t="n"/>
      <c r="F314" s="7" t="n"/>
      <c r="G314" s="7" t="n"/>
      <c r="H314" s="3">
        <f>IFERROR(VLOOKUP(B314,Inventory!$A:$B,2,FALSE)*D314,0)</f>
        <v/>
      </c>
      <c r="I314" s="3">
        <f>IF(C314="",0,IFERROR(VLOOKUP(C314,Settings!$A$2:$F$5,2,FALSE)+(E314*D314+F314)*VLOOKUP(C314,Settings!$A$2:$F$5,3,FALSE)/100+(E314*D314+F314)*VLOOKUP(C314,Settings!$A$2:$F$5,4,FALSE)/100+VLOOKUP(C314,Settings!$A$2:$F$5,5,FALSE)+VLOOKUP(C314,Settings!$A$2:$F$5,6,FALSE),0))</f>
        <v/>
      </c>
      <c r="J314" s="3">
        <f>IF(B314="","",IF(ISNA(MATCH(B314,Inventory!$A$2:$A$201,0)),"Check product",E314*D314+F314-I314-G314-H314))</f>
        <v/>
      </c>
      <c r="K314" s="4">
        <f>IF(OR(B314="",NOT(ISNUMBER(J314)),E314*D314+F314=0),"",J314/(E314*D314+F314))</f>
        <v/>
      </c>
    </row>
    <row r="315">
      <c r="A315" s="8" t="n"/>
      <c r="B315" s="6" t="n"/>
      <c r="C315" s="6" t="n"/>
      <c r="D315" s="6" t="n"/>
      <c r="E315" s="7" t="n"/>
      <c r="F315" s="7" t="n"/>
      <c r="G315" s="7" t="n"/>
      <c r="H315" s="3">
        <f>IFERROR(VLOOKUP(B315,Inventory!$A:$B,2,FALSE)*D315,0)</f>
        <v/>
      </c>
      <c r="I315" s="3">
        <f>IF(C315="",0,IFERROR(VLOOKUP(C315,Settings!$A$2:$F$5,2,FALSE)+(E315*D315+F315)*VLOOKUP(C315,Settings!$A$2:$F$5,3,FALSE)/100+(E315*D315+F315)*VLOOKUP(C315,Settings!$A$2:$F$5,4,FALSE)/100+VLOOKUP(C315,Settings!$A$2:$F$5,5,FALSE)+VLOOKUP(C315,Settings!$A$2:$F$5,6,FALSE),0))</f>
        <v/>
      </c>
      <c r="J315" s="3">
        <f>IF(B315="","",IF(ISNA(MATCH(B315,Inventory!$A$2:$A$201,0)),"Check product",E315*D315+F315-I315-G315-H315))</f>
        <v/>
      </c>
      <c r="K315" s="4">
        <f>IF(OR(B315="",NOT(ISNUMBER(J315)),E315*D315+F315=0),"",J315/(E315*D315+F315))</f>
        <v/>
      </c>
    </row>
    <row r="316">
      <c r="A316" s="8" t="n"/>
      <c r="B316" s="6" t="n"/>
      <c r="C316" s="6" t="n"/>
      <c r="D316" s="6" t="n"/>
      <c r="E316" s="7" t="n"/>
      <c r="F316" s="7" t="n"/>
      <c r="G316" s="7" t="n"/>
      <c r="H316" s="3">
        <f>IFERROR(VLOOKUP(B316,Inventory!$A:$B,2,FALSE)*D316,0)</f>
        <v/>
      </c>
      <c r="I316" s="3">
        <f>IF(C316="",0,IFERROR(VLOOKUP(C316,Settings!$A$2:$F$5,2,FALSE)+(E316*D316+F316)*VLOOKUP(C316,Settings!$A$2:$F$5,3,FALSE)/100+(E316*D316+F316)*VLOOKUP(C316,Settings!$A$2:$F$5,4,FALSE)/100+VLOOKUP(C316,Settings!$A$2:$F$5,5,FALSE)+VLOOKUP(C316,Settings!$A$2:$F$5,6,FALSE),0))</f>
        <v/>
      </c>
      <c r="J316" s="3">
        <f>IF(B316="","",IF(ISNA(MATCH(B316,Inventory!$A$2:$A$201,0)),"Check product",E316*D316+F316-I316-G316-H316))</f>
        <v/>
      </c>
      <c r="K316" s="4">
        <f>IF(OR(B316="",NOT(ISNUMBER(J316)),E316*D316+F316=0),"",J316/(E316*D316+F316))</f>
        <v/>
      </c>
    </row>
    <row r="317">
      <c r="A317" s="8" t="n"/>
      <c r="B317" s="6" t="n"/>
      <c r="C317" s="6" t="n"/>
      <c r="D317" s="6" t="n"/>
      <c r="E317" s="7" t="n"/>
      <c r="F317" s="7" t="n"/>
      <c r="G317" s="7" t="n"/>
      <c r="H317" s="3">
        <f>IFERROR(VLOOKUP(B317,Inventory!$A:$B,2,FALSE)*D317,0)</f>
        <v/>
      </c>
      <c r="I317" s="3">
        <f>IF(C317="",0,IFERROR(VLOOKUP(C317,Settings!$A$2:$F$5,2,FALSE)+(E317*D317+F317)*VLOOKUP(C317,Settings!$A$2:$F$5,3,FALSE)/100+(E317*D317+F317)*VLOOKUP(C317,Settings!$A$2:$F$5,4,FALSE)/100+VLOOKUP(C317,Settings!$A$2:$F$5,5,FALSE)+VLOOKUP(C317,Settings!$A$2:$F$5,6,FALSE),0))</f>
        <v/>
      </c>
      <c r="J317" s="3">
        <f>IF(B317="","",IF(ISNA(MATCH(B317,Inventory!$A$2:$A$201,0)),"Check product",E317*D317+F317-I317-G317-H317))</f>
        <v/>
      </c>
      <c r="K317" s="4">
        <f>IF(OR(B317="",NOT(ISNUMBER(J317)),E317*D317+F317=0),"",J317/(E317*D317+F317))</f>
        <v/>
      </c>
    </row>
    <row r="318">
      <c r="A318" s="8" t="n"/>
      <c r="B318" s="6" t="n"/>
      <c r="C318" s="6" t="n"/>
      <c r="D318" s="6" t="n"/>
      <c r="E318" s="7" t="n"/>
      <c r="F318" s="7" t="n"/>
      <c r="G318" s="7" t="n"/>
      <c r="H318" s="3">
        <f>IFERROR(VLOOKUP(B318,Inventory!$A:$B,2,FALSE)*D318,0)</f>
        <v/>
      </c>
      <c r="I318" s="3">
        <f>IF(C318="",0,IFERROR(VLOOKUP(C318,Settings!$A$2:$F$5,2,FALSE)+(E318*D318+F318)*VLOOKUP(C318,Settings!$A$2:$F$5,3,FALSE)/100+(E318*D318+F318)*VLOOKUP(C318,Settings!$A$2:$F$5,4,FALSE)/100+VLOOKUP(C318,Settings!$A$2:$F$5,5,FALSE)+VLOOKUP(C318,Settings!$A$2:$F$5,6,FALSE),0))</f>
        <v/>
      </c>
      <c r="J318" s="3">
        <f>IF(B318="","",IF(ISNA(MATCH(B318,Inventory!$A$2:$A$201,0)),"Check product",E318*D318+F318-I318-G318-H318))</f>
        <v/>
      </c>
      <c r="K318" s="4">
        <f>IF(OR(B318="",NOT(ISNUMBER(J318)),E318*D318+F318=0),"",J318/(E318*D318+F318))</f>
        <v/>
      </c>
    </row>
    <row r="319">
      <c r="A319" s="8" t="n"/>
      <c r="B319" s="6" t="n"/>
      <c r="C319" s="6" t="n"/>
      <c r="D319" s="6" t="n"/>
      <c r="E319" s="7" t="n"/>
      <c r="F319" s="7" t="n"/>
      <c r="G319" s="7" t="n"/>
      <c r="H319" s="3">
        <f>IFERROR(VLOOKUP(B319,Inventory!$A:$B,2,FALSE)*D319,0)</f>
        <v/>
      </c>
      <c r="I319" s="3">
        <f>IF(C319="",0,IFERROR(VLOOKUP(C319,Settings!$A$2:$F$5,2,FALSE)+(E319*D319+F319)*VLOOKUP(C319,Settings!$A$2:$F$5,3,FALSE)/100+(E319*D319+F319)*VLOOKUP(C319,Settings!$A$2:$F$5,4,FALSE)/100+VLOOKUP(C319,Settings!$A$2:$F$5,5,FALSE)+VLOOKUP(C319,Settings!$A$2:$F$5,6,FALSE),0))</f>
        <v/>
      </c>
      <c r="J319" s="3">
        <f>IF(B319="","",IF(ISNA(MATCH(B319,Inventory!$A$2:$A$201,0)),"Check product",E319*D319+F319-I319-G319-H319))</f>
        <v/>
      </c>
      <c r="K319" s="4">
        <f>IF(OR(B319="",NOT(ISNUMBER(J319)),E319*D319+F319=0),"",J319/(E319*D319+F319))</f>
        <v/>
      </c>
    </row>
    <row r="320">
      <c r="A320" s="8" t="n"/>
      <c r="B320" s="6" t="n"/>
      <c r="C320" s="6" t="n"/>
      <c r="D320" s="6" t="n"/>
      <c r="E320" s="7" t="n"/>
      <c r="F320" s="7" t="n"/>
      <c r="G320" s="7" t="n"/>
      <c r="H320" s="3">
        <f>IFERROR(VLOOKUP(B320,Inventory!$A:$B,2,FALSE)*D320,0)</f>
        <v/>
      </c>
      <c r="I320" s="3">
        <f>IF(C320="",0,IFERROR(VLOOKUP(C320,Settings!$A$2:$F$5,2,FALSE)+(E320*D320+F320)*VLOOKUP(C320,Settings!$A$2:$F$5,3,FALSE)/100+(E320*D320+F320)*VLOOKUP(C320,Settings!$A$2:$F$5,4,FALSE)/100+VLOOKUP(C320,Settings!$A$2:$F$5,5,FALSE)+VLOOKUP(C320,Settings!$A$2:$F$5,6,FALSE),0))</f>
        <v/>
      </c>
      <c r="J320" s="3">
        <f>IF(B320="","",IF(ISNA(MATCH(B320,Inventory!$A$2:$A$201,0)),"Check product",E320*D320+F320-I320-G320-H320))</f>
        <v/>
      </c>
      <c r="K320" s="4">
        <f>IF(OR(B320="",NOT(ISNUMBER(J320)),E320*D320+F320=0),"",J320/(E320*D320+F320))</f>
        <v/>
      </c>
    </row>
    <row r="321">
      <c r="A321" s="8" t="n"/>
      <c r="B321" s="6" t="n"/>
      <c r="C321" s="6" t="n"/>
      <c r="D321" s="6" t="n"/>
      <c r="E321" s="7" t="n"/>
      <c r="F321" s="7" t="n"/>
      <c r="G321" s="7" t="n"/>
      <c r="H321" s="3">
        <f>IFERROR(VLOOKUP(B321,Inventory!$A:$B,2,FALSE)*D321,0)</f>
        <v/>
      </c>
      <c r="I321" s="3">
        <f>IF(C321="",0,IFERROR(VLOOKUP(C321,Settings!$A$2:$F$5,2,FALSE)+(E321*D321+F321)*VLOOKUP(C321,Settings!$A$2:$F$5,3,FALSE)/100+(E321*D321+F321)*VLOOKUP(C321,Settings!$A$2:$F$5,4,FALSE)/100+VLOOKUP(C321,Settings!$A$2:$F$5,5,FALSE)+VLOOKUP(C321,Settings!$A$2:$F$5,6,FALSE),0))</f>
        <v/>
      </c>
      <c r="J321" s="3">
        <f>IF(B321="","",IF(ISNA(MATCH(B321,Inventory!$A$2:$A$201,0)),"Check product",E321*D321+F321-I321-G321-H321))</f>
        <v/>
      </c>
      <c r="K321" s="4">
        <f>IF(OR(B321="",NOT(ISNUMBER(J321)),E321*D321+F321=0),"",J321/(E321*D321+F321))</f>
        <v/>
      </c>
    </row>
    <row r="322">
      <c r="A322" s="8" t="n"/>
      <c r="B322" s="6" t="n"/>
      <c r="C322" s="6" t="n"/>
      <c r="D322" s="6" t="n"/>
      <c r="E322" s="7" t="n"/>
      <c r="F322" s="7" t="n"/>
      <c r="G322" s="7" t="n"/>
      <c r="H322" s="3">
        <f>IFERROR(VLOOKUP(B322,Inventory!$A:$B,2,FALSE)*D322,0)</f>
        <v/>
      </c>
      <c r="I322" s="3">
        <f>IF(C322="",0,IFERROR(VLOOKUP(C322,Settings!$A$2:$F$5,2,FALSE)+(E322*D322+F322)*VLOOKUP(C322,Settings!$A$2:$F$5,3,FALSE)/100+(E322*D322+F322)*VLOOKUP(C322,Settings!$A$2:$F$5,4,FALSE)/100+VLOOKUP(C322,Settings!$A$2:$F$5,5,FALSE)+VLOOKUP(C322,Settings!$A$2:$F$5,6,FALSE),0))</f>
        <v/>
      </c>
      <c r="J322" s="3">
        <f>IF(B322="","",IF(ISNA(MATCH(B322,Inventory!$A$2:$A$201,0)),"Check product",E322*D322+F322-I322-G322-H322))</f>
        <v/>
      </c>
      <c r="K322" s="4">
        <f>IF(OR(B322="",NOT(ISNUMBER(J322)),E322*D322+F322=0),"",J322/(E322*D322+F322))</f>
        <v/>
      </c>
    </row>
    <row r="323">
      <c r="A323" s="8" t="n"/>
      <c r="B323" s="6" t="n"/>
      <c r="C323" s="6" t="n"/>
      <c r="D323" s="6" t="n"/>
      <c r="E323" s="7" t="n"/>
      <c r="F323" s="7" t="n"/>
      <c r="G323" s="7" t="n"/>
      <c r="H323" s="3">
        <f>IFERROR(VLOOKUP(B323,Inventory!$A:$B,2,FALSE)*D323,0)</f>
        <v/>
      </c>
      <c r="I323" s="3">
        <f>IF(C323="",0,IFERROR(VLOOKUP(C323,Settings!$A$2:$F$5,2,FALSE)+(E323*D323+F323)*VLOOKUP(C323,Settings!$A$2:$F$5,3,FALSE)/100+(E323*D323+F323)*VLOOKUP(C323,Settings!$A$2:$F$5,4,FALSE)/100+VLOOKUP(C323,Settings!$A$2:$F$5,5,FALSE)+VLOOKUP(C323,Settings!$A$2:$F$5,6,FALSE),0))</f>
        <v/>
      </c>
      <c r="J323" s="3">
        <f>IF(B323="","",IF(ISNA(MATCH(B323,Inventory!$A$2:$A$201,0)),"Check product",E323*D323+F323-I323-G323-H323))</f>
        <v/>
      </c>
      <c r="K323" s="4">
        <f>IF(OR(B323="",NOT(ISNUMBER(J323)),E323*D323+F323=0),"",J323/(E323*D323+F323))</f>
        <v/>
      </c>
    </row>
    <row r="324">
      <c r="A324" s="8" t="n"/>
      <c r="B324" s="6" t="n"/>
      <c r="C324" s="6" t="n"/>
      <c r="D324" s="6" t="n"/>
      <c r="E324" s="7" t="n"/>
      <c r="F324" s="7" t="n"/>
      <c r="G324" s="7" t="n"/>
      <c r="H324" s="3">
        <f>IFERROR(VLOOKUP(B324,Inventory!$A:$B,2,FALSE)*D324,0)</f>
        <v/>
      </c>
      <c r="I324" s="3">
        <f>IF(C324="",0,IFERROR(VLOOKUP(C324,Settings!$A$2:$F$5,2,FALSE)+(E324*D324+F324)*VLOOKUP(C324,Settings!$A$2:$F$5,3,FALSE)/100+(E324*D324+F324)*VLOOKUP(C324,Settings!$A$2:$F$5,4,FALSE)/100+VLOOKUP(C324,Settings!$A$2:$F$5,5,FALSE)+VLOOKUP(C324,Settings!$A$2:$F$5,6,FALSE),0))</f>
        <v/>
      </c>
      <c r="J324" s="3">
        <f>IF(B324="","",IF(ISNA(MATCH(B324,Inventory!$A$2:$A$201,0)),"Check product",E324*D324+F324-I324-G324-H324))</f>
        <v/>
      </c>
      <c r="K324" s="4">
        <f>IF(OR(B324="",NOT(ISNUMBER(J324)),E324*D324+F324=0),"",J324/(E324*D324+F324))</f>
        <v/>
      </c>
    </row>
    <row r="325">
      <c r="A325" s="8" t="n"/>
      <c r="B325" s="6" t="n"/>
      <c r="C325" s="6" t="n"/>
      <c r="D325" s="6" t="n"/>
      <c r="E325" s="7" t="n"/>
      <c r="F325" s="7" t="n"/>
      <c r="G325" s="7" t="n"/>
      <c r="H325" s="3">
        <f>IFERROR(VLOOKUP(B325,Inventory!$A:$B,2,FALSE)*D325,0)</f>
        <v/>
      </c>
      <c r="I325" s="3">
        <f>IF(C325="",0,IFERROR(VLOOKUP(C325,Settings!$A$2:$F$5,2,FALSE)+(E325*D325+F325)*VLOOKUP(C325,Settings!$A$2:$F$5,3,FALSE)/100+(E325*D325+F325)*VLOOKUP(C325,Settings!$A$2:$F$5,4,FALSE)/100+VLOOKUP(C325,Settings!$A$2:$F$5,5,FALSE)+VLOOKUP(C325,Settings!$A$2:$F$5,6,FALSE),0))</f>
        <v/>
      </c>
      <c r="J325" s="3">
        <f>IF(B325="","",IF(ISNA(MATCH(B325,Inventory!$A$2:$A$201,0)),"Check product",E325*D325+F325-I325-G325-H325))</f>
        <v/>
      </c>
      <c r="K325" s="4">
        <f>IF(OR(B325="",NOT(ISNUMBER(J325)),E325*D325+F325=0),"",J325/(E325*D325+F325))</f>
        <v/>
      </c>
    </row>
    <row r="326">
      <c r="A326" s="8" t="n"/>
      <c r="B326" s="6" t="n"/>
      <c r="C326" s="6" t="n"/>
      <c r="D326" s="6" t="n"/>
      <c r="E326" s="7" t="n"/>
      <c r="F326" s="7" t="n"/>
      <c r="G326" s="7" t="n"/>
      <c r="H326" s="3">
        <f>IFERROR(VLOOKUP(B326,Inventory!$A:$B,2,FALSE)*D326,0)</f>
        <v/>
      </c>
      <c r="I326" s="3">
        <f>IF(C326="",0,IFERROR(VLOOKUP(C326,Settings!$A$2:$F$5,2,FALSE)+(E326*D326+F326)*VLOOKUP(C326,Settings!$A$2:$F$5,3,FALSE)/100+(E326*D326+F326)*VLOOKUP(C326,Settings!$A$2:$F$5,4,FALSE)/100+VLOOKUP(C326,Settings!$A$2:$F$5,5,FALSE)+VLOOKUP(C326,Settings!$A$2:$F$5,6,FALSE),0))</f>
        <v/>
      </c>
      <c r="J326" s="3">
        <f>IF(B326="","",IF(ISNA(MATCH(B326,Inventory!$A$2:$A$201,0)),"Check product",E326*D326+F326-I326-G326-H326))</f>
        <v/>
      </c>
      <c r="K326" s="4">
        <f>IF(OR(B326="",NOT(ISNUMBER(J326)),E326*D326+F326=0),"",J326/(E326*D326+F326))</f>
        <v/>
      </c>
    </row>
    <row r="327">
      <c r="A327" s="8" t="n"/>
      <c r="B327" s="6" t="n"/>
      <c r="C327" s="6" t="n"/>
      <c r="D327" s="6" t="n"/>
      <c r="E327" s="7" t="n"/>
      <c r="F327" s="7" t="n"/>
      <c r="G327" s="7" t="n"/>
      <c r="H327" s="3">
        <f>IFERROR(VLOOKUP(B327,Inventory!$A:$B,2,FALSE)*D327,0)</f>
        <v/>
      </c>
      <c r="I327" s="3">
        <f>IF(C327="",0,IFERROR(VLOOKUP(C327,Settings!$A$2:$F$5,2,FALSE)+(E327*D327+F327)*VLOOKUP(C327,Settings!$A$2:$F$5,3,FALSE)/100+(E327*D327+F327)*VLOOKUP(C327,Settings!$A$2:$F$5,4,FALSE)/100+VLOOKUP(C327,Settings!$A$2:$F$5,5,FALSE)+VLOOKUP(C327,Settings!$A$2:$F$5,6,FALSE),0))</f>
        <v/>
      </c>
      <c r="J327" s="3">
        <f>IF(B327="","",IF(ISNA(MATCH(B327,Inventory!$A$2:$A$201,0)),"Check product",E327*D327+F327-I327-G327-H327))</f>
        <v/>
      </c>
      <c r="K327" s="4">
        <f>IF(OR(B327="",NOT(ISNUMBER(J327)),E327*D327+F327=0),"",J327/(E327*D327+F327))</f>
        <v/>
      </c>
    </row>
    <row r="328">
      <c r="A328" s="8" t="n"/>
      <c r="B328" s="6" t="n"/>
      <c r="C328" s="6" t="n"/>
      <c r="D328" s="6" t="n"/>
      <c r="E328" s="7" t="n"/>
      <c r="F328" s="7" t="n"/>
      <c r="G328" s="7" t="n"/>
      <c r="H328" s="3">
        <f>IFERROR(VLOOKUP(B328,Inventory!$A:$B,2,FALSE)*D328,0)</f>
        <v/>
      </c>
      <c r="I328" s="3">
        <f>IF(C328="",0,IFERROR(VLOOKUP(C328,Settings!$A$2:$F$5,2,FALSE)+(E328*D328+F328)*VLOOKUP(C328,Settings!$A$2:$F$5,3,FALSE)/100+(E328*D328+F328)*VLOOKUP(C328,Settings!$A$2:$F$5,4,FALSE)/100+VLOOKUP(C328,Settings!$A$2:$F$5,5,FALSE)+VLOOKUP(C328,Settings!$A$2:$F$5,6,FALSE),0))</f>
        <v/>
      </c>
      <c r="J328" s="3">
        <f>IF(B328="","",IF(ISNA(MATCH(B328,Inventory!$A$2:$A$201,0)),"Check product",E328*D328+F328-I328-G328-H328))</f>
        <v/>
      </c>
      <c r="K328" s="4">
        <f>IF(OR(B328="",NOT(ISNUMBER(J328)),E328*D328+F328=0),"",J328/(E328*D328+F328))</f>
        <v/>
      </c>
    </row>
    <row r="329">
      <c r="A329" s="8" t="n"/>
      <c r="B329" s="6" t="n"/>
      <c r="C329" s="6" t="n"/>
      <c r="D329" s="6" t="n"/>
      <c r="E329" s="7" t="n"/>
      <c r="F329" s="7" t="n"/>
      <c r="G329" s="7" t="n"/>
      <c r="H329" s="3">
        <f>IFERROR(VLOOKUP(B329,Inventory!$A:$B,2,FALSE)*D329,0)</f>
        <v/>
      </c>
      <c r="I329" s="3">
        <f>IF(C329="",0,IFERROR(VLOOKUP(C329,Settings!$A$2:$F$5,2,FALSE)+(E329*D329+F329)*VLOOKUP(C329,Settings!$A$2:$F$5,3,FALSE)/100+(E329*D329+F329)*VLOOKUP(C329,Settings!$A$2:$F$5,4,FALSE)/100+VLOOKUP(C329,Settings!$A$2:$F$5,5,FALSE)+VLOOKUP(C329,Settings!$A$2:$F$5,6,FALSE),0))</f>
        <v/>
      </c>
      <c r="J329" s="3">
        <f>IF(B329="","",IF(ISNA(MATCH(B329,Inventory!$A$2:$A$201,0)),"Check product",E329*D329+F329-I329-G329-H329))</f>
        <v/>
      </c>
      <c r="K329" s="4">
        <f>IF(OR(B329="",NOT(ISNUMBER(J329)),E329*D329+F329=0),"",J329/(E329*D329+F329))</f>
        <v/>
      </c>
    </row>
    <row r="330">
      <c r="A330" s="8" t="n"/>
      <c r="B330" s="6" t="n"/>
      <c r="C330" s="6" t="n"/>
      <c r="D330" s="6" t="n"/>
      <c r="E330" s="7" t="n"/>
      <c r="F330" s="7" t="n"/>
      <c r="G330" s="7" t="n"/>
      <c r="H330" s="3">
        <f>IFERROR(VLOOKUP(B330,Inventory!$A:$B,2,FALSE)*D330,0)</f>
        <v/>
      </c>
      <c r="I330" s="3">
        <f>IF(C330="",0,IFERROR(VLOOKUP(C330,Settings!$A$2:$F$5,2,FALSE)+(E330*D330+F330)*VLOOKUP(C330,Settings!$A$2:$F$5,3,FALSE)/100+(E330*D330+F330)*VLOOKUP(C330,Settings!$A$2:$F$5,4,FALSE)/100+VLOOKUP(C330,Settings!$A$2:$F$5,5,FALSE)+VLOOKUP(C330,Settings!$A$2:$F$5,6,FALSE),0))</f>
        <v/>
      </c>
      <c r="J330" s="3">
        <f>IF(B330="","",IF(ISNA(MATCH(B330,Inventory!$A$2:$A$201,0)),"Check product",E330*D330+F330-I330-G330-H330))</f>
        <v/>
      </c>
      <c r="K330" s="4">
        <f>IF(OR(B330="",NOT(ISNUMBER(J330)),E330*D330+F330=0),"",J330/(E330*D330+F330))</f>
        <v/>
      </c>
    </row>
    <row r="331">
      <c r="A331" s="8" t="n"/>
      <c r="B331" s="6" t="n"/>
      <c r="C331" s="6" t="n"/>
      <c r="D331" s="6" t="n"/>
      <c r="E331" s="7" t="n"/>
      <c r="F331" s="7" t="n"/>
      <c r="G331" s="7" t="n"/>
      <c r="H331" s="3">
        <f>IFERROR(VLOOKUP(B331,Inventory!$A:$B,2,FALSE)*D331,0)</f>
        <v/>
      </c>
      <c r="I331" s="3">
        <f>IF(C331="",0,IFERROR(VLOOKUP(C331,Settings!$A$2:$F$5,2,FALSE)+(E331*D331+F331)*VLOOKUP(C331,Settings!$A$2:$F$5,3,FALSE)/100+(E331*D331+F331)*VLOOKUP(C331,Settings!$A$2:$F$5,4,FALSE)/100+VLOOKUP(C331,Settings!$A$2:$F$5,5,FALSE)+VLOOKUP(C331,Settings!$A$2:$F$5,6,FALSE),0))</f>
        <v/>
      </c>
      <c r="J331" s="3">
        <f>IF(B331="","",IF(ISNA(MATCH(B331,Inventory!$A$2:$A$201,0)),"Check product",E331*D331+F331-I331-G331-H331))</f>
        <v/>
      </c>
      <c r="K331" s="4">
        <f>IF(OR(B331="",NOT(ISNUMBER(J331)),E331*D331+F331=0),"",J331/(E331*D331+F331))</f>
        <v/>
      </c>
    </row>
    <row r="332">
      <c r="A332" s="8" t="n"/>
      <c r="B332" s="6" t="n"/>
      <c r="C332" s="6" t="n"/>
      <c r="D332" s="6" t="n"/>
      <c r="E332" s="7" t="n"/>
      <c r="F332" s="7" t="n"/>
      <c r="G332" s="7" t="n"/>
      <c r="H332" s="3">
        <f>IFERROR(VLOOKUP(B332,Inventory!$A:$B,2,FALSE)*D332,0)</f>
        <v/>
      </c>
      <c r="I332" s="3">
        <f>IF(C332="",0,IFERROR(VLOOKUP(C332,Settings!$A$2:$F$5,2,FALSE)+(E332*D332+F332)*VLOOKUP(C332,Settings!$A$2:$F$5,3,FALSE)/100+(E332*D332+F332)*VLOOKUP(C332,Settings!$A$2:$F$5,4,FALSE)/100+VLOOKUP(C332,Settings!$A$2:$F$5,5,FALSE)+VLOOKUP(C332,Settings!$A$2:$F$5,6,FALSE),0))</f>
        <v/>
      </c>
      <c r="J332" s="3">
        <f>IF(B332="","",IF(ISNA(MATCH(B332,Inventory!$A$2:$A$201,0)),"Check product",E332*D332+F332-I332-G332-H332))</f>
        <v/>
      </c>
      <c r="K332" s="4">
        <f>IF(OR(B332="",NOT(ISNUMBER(J332)),E332*D332+F332=0),"",J332/(E332*D332+F332))</f>
        <v/>
      </c>
    </row>
    <row r="333">
      <c r="A333" s="8" t="n"/>
      <c r="B333" s="6" t="n"/>
      <c r="C333" s="6" t="n"/>
      <c r="D333" s="6" t="n"/>
      <c r="E333" s="7" t="n"/>
      <c r="F333" s="7" t="n"/>
      <c r="G333" s="7" t="n"/>
      <c r="H333" s="3">
        <f>IFERROR(VLOOKUP(B333,Inventory!$A:$B,2,FALSE)*D333,0)</f>
        <v/>
      </c>
      <c r="I333" s="3">
        <f>IF(C333="",0,IFERROR(VLOOKUP(C333,Settings!$A$2:$F$5,2,FALSE)+(E333*D333+F333)*VLOOKUP(C333,Settings!$A$2:$F$5,3,FALSE)/100+(E333*D333+F333)*VLOOKUP(C333,Settings!$A$2:$F$5,4,FALSE)/100+VLOOKUP(C333,Settings!$A$2:$F$5,5,FALSE)+VLOOKUP(C333,Settings!$A$2:$F$5,6,FALSE),0))</f>
        <v/>
      </c>
      <c r="J333" s="3">
        <f>IF(B333="","",IF(ISNA(MATCH(B333,Inventory!$A$2:$A$201,0)),"Check product",E333*D333+F333-I333-G333-H333))</f>
        <v/>
      </c>
      <c r="K333" s="4">
        <f>IF(OR(B333="",NOT(ISNUMBER(J333)),E333*D333+F333=0),"",J333/(E333*D333+F333))</f>
        <v/>
      </c>
    </row>
    <row r="334">
      <c r="A334" s="8" t="n"/>
      <c r="B334" s="6" t="n"/>
      <c r="C334" s="6" t="n"/>
      <c r="D334" s="6" t="n"/>
      <c r="E334" s="7" t="n"/>
      <c r="F334" s="7" t="n"/>
      <c r="G334" s="7" t="n"/>
      <c r="H334" s="3">
        <f>IFERROR(VLOOKUP(B334,Inventory!$A:$B,2,FALSE)*D334,0)</f>
        <v/>
      </c>
      <c r="I334" s="3">
        <f>IF(C334="",0,IFERROR(VLOOKUP(C334,Settings!$A$2:$F$5,2,FALSE)+(E334*D334+F334)*VLOOKUP(C334,Settings!$A$2:$F$5,3,FALSE)/100+(E334*D334+F334)*VLOOKUP(C334,Settings!$A$2:$F$5,4,FALSE)/100+VLOOKUP(C334,Settings!$A$2:$F$5,5,FALSE)+VLOOKUP(C334,Settings!$A$2:$F$5,6,FALSE),0))</f>
        <v/>
      </c>
      <c r="J334" s="3">
        <f>IF(B334="","",IF(ISNA(MATCH(B334,Inventory!$A$2:$A$201,0)),"Check product",E334*D334+F334-I334-G334-H334))</f>
        <v/>
      </c>
      <c r="K334" s="4">
        <f>IF(OR(B334="",NOT(ISNUMBER(J334)),E334*D334+F334=0),"",J334/(E334*D334+F334))</f>
        <v/>
      </c>
    </row>
    <row r="335">
      <c r="A335" s="8" t="n"/>
      <c r="B335" s="6" t="n"/>
      <c r="C335" s="6" t="n"/>
      <c r="D335" s="6" t="n"/>
      <c r="E335" s="7" t="n"/>
      <c r="F335" s="7" t="n"/>
      <c r="G335" s="7" t="n"/>
      <c r="H335" s="3">
        <f>IFERROR(VLOOKUP(B335,Inventory!$A:$B,2,FALSE)*D335,0)</f>
        <v/>
      </c>
      <c r="I335" s="3">
        <f>IF(C335="",0,IFERROR(VLOOKUP(C335,Settings!$A$2:$F$5,2,FALSE)+(E335*D335+F335)*VLOOKUP(C335,Settings!$A$2:$F$5,3,FALSE)/100+(E335*D335+F335)*VLOOKUP(C335,Settings!$A$2:$F$5,4,FALSE)/100+VLOOKUP(C335,Settings!$A$2:$F$5,5,FALSE)+VLOOKUP(C335,Settings!$A$2:$F$5,6,FALSE),0))</f>
        <v/>
      </c>
      <c r="J335" s="3">
        <f>IF(B335="","",IF(ISNA(MATCH(B335,Inventory!$A$2:$A$201,0)),"Check product",E335*D335+F335-I335-G335-H335))</f>
        <v/>
      </c>
      <c r="K335" s="4">
        <f>IF(OR(B335="",NOT(ISNUMBER(J335)),E335*D335+F335=0),"",J335/(E335*D335+F335))</f>
        <v/>
      </c>
    </row>
    <row r="336">
      <c r="A336" s="8" t="n"/>
      <c r="B336" s="6" t="n"/>
      <c r="C336" s="6" t="n"/>
      <c r="D336" s="6" t="n"/>
      <c r="E336" s="7" t="n"/>
      <c r="F336" s="7" t="n"/>
      <c r="G336" s="7" t="n"/>
      <c r="H336" s="3">
        <f>IFERROR(VLOOKUP(B336,Inventory!$A:$B,2,FALSE)*D336,0)</f>
        <v/>
      </c>
      <c r="I336" s="3">
        <f>IF(C336="",0,IFERROR(VLOOKUP(C336,Settings!$A$2:$F$5,2,FALSE)+(E336*D336+F336)*VLOOKUP(C336,Settings!$A$2:$F$5,3,FALSE)/100+(E336*D336+F336)*VLOOKUP(C336,Settings!$A$2:$F$5,4,FALSE)/100+VLOOKUP(C336,Settings!$A$2:$F$5,5,FALSE)+VLOOKUP(C336,Settings!$A$2:$F$5,6,FALSE),0))</f>
        <v/>
      </c>
      <c r="J336" s="3">
        <f>IF(B336="","",IF(ISNA(MATCH(B336,Inventory!$A$2:$A$201,0)),"Check product",E336*D336+F336-I336-G336-H336))</f>
        <v/>
      </c>
      <c r="K336" s="4">
        <f>IF(OR(B336="",NOT(ISNUMBER(J336)),E336*D336+F336=0),"",J336/(E336*D336+F336))</f>
        <v/>
      </c>
    </row>
    <row r="337">
      <c r="A337" s="8" t="n"/>
      <c r="B337" s="6" t="n"/>
      <c r="C337" s="6" t="n"/>
      <c r="D337" s="6" t="n"/>
      <c r="E337" s="7" t="n"/>
      <c r="F337" s="7" t="n"/>
      <c r="G337" s="7" t="n"/>
      <c r="H337" s="3">
        <f>IFERROR(VLOOKUP(B337,Inventory!$A:$B,2,FALSE)*D337,0)</f>
        <v/>
      </c>
      <c r="I337" s="3">
        <f>IF(C337="",0,IFERROR(VLOOKUP(C337,Settings!$A$2:$F$5,2,FALSE)+(E337*D337+F337)*VLOOKUP(C337,Settings!$A$2:$F$5,3,FALSE)/100+(E337*D337+F337)*VLOOKUP(C337,Settings!$A$2:$F$5,4,FALSE)/100+VLOOKUP(C337,Settings!$A$2:$F$5,5,FALSE)+VLOOKUP(C337,Settings!$A$2:$F$5,6,FALSE),0))</f>
        <v/>
      </c>
      <c r="J337" s="3">
        <f>IF(B337="","",IF(ISNA(MATCH(B337,Inventory!$A$2:$A$201,0)),"Check product",E337*D337+F337-I337-G337-H337))</f>
        <v/>
      </c>
      <c r="K337" s="4">
        <f>IF(OR(B337="",NOT(ISNUMBER(J337)),E337*D337+F337=0),"",J337/(E337*D337+F337))</f>
        <v/>
      </c>
    </row>
    <row r="338">
      <c r="A338" s="8" t="n"/>
      <c r="B338" s="6" t="n"/>
      <c r="C338" s="6" t="n"/>
      <c r="D338" s="6" t="n"/>
      <c r="E338" s="7" t="n"/>
      <c r="F338" s="7" t="n"/>
      <c r="G338" s="7" t="n"/>
      <c r="H338" s="3">
        <f>IFERROR(VLOOKUP(B338,Inventory!$A:$B,2,FALSE)*D338,0)</f>
        <v/>
      </c>
      <c r="I338" s="3">
        <f>IF(C338="",0,IFERROR(VLOOKUP(C338,Settings!$A$2:$F$5,2,FALSE)+(E338*D338+F338)*VLOOKUP(C338,Settings!$A$2:$F$5,3,FALSE)/100+(E338*D338+F338)*VLOOKUP(C338,Settings!$A$2:$F$5,4,FALSE)/100+VLOOKUP(C338,Settings!$A$2:$F$5,5,FALSE)+VLOOKUP(C338,Settings!$A$2:$F$5,6,FALSE),0))</f>
        <v/>
      </c>
      <c r="J338" s="3">
        <f>IF(B338="","",IF(ISNA(MATCH(B338,Inventory!$A$2:$A$201,0)),"Check product",E338*D338+F338-I338-G338-H338))</f>
        <v/>
      </c>
      <c r="K338" s="4">
        <f>IF(OR(B338="",NOT(ISNUMBER(J338)),E338*D338+F338=0),"",J338/(E338*D338+F338))</f>
        <v/>
      </c>
    </row>
    <row r="339">
      <c r="A339" s="8" t="n"/>
      <c r="B339" s="6" t="n"/>
      <c r="C339" s="6" t="n"/>
      <c r="D339" s="6" t="n"/>
      <c r="E339" s="7" t="n"/>
      <c r="F339" s="7" t="n"/>
      <c r="G339" s="7" t="n"/>
      <c r="H339" s="3">
        <f>IFERROR(VLOOKUP(B339,Inventory!$A:$B,2,FALSE)*D339,0)</f>
        <v/>
      </c>
      <c r="I339" s="3">
        <f>IF(C339="",0,IFERROR(VLOOKUP(C339,Settings!$A$2:$F$5,2,FALSE)+(E339*D339+F339)*VLOOKUP(C339,Settings!$A$2:$F$5,3,FALSE)/100+(E339*D339+F339)*VLOOKUP(C339,Settings!$A$2:$F$5,4,FALSE)/100+VLOOKUP(C339,Settings!$A$2:$F$5,5,FALSE)+VLOOKUP(C339,Settings!$A$2:$F$5,6,FALSE),0))</f>
        <v/>
      </c>
      <c r="J339" s="3">
        <f>IF(B339="","",IF(ISNA(MATCH(B339,Inventory!$A$2:$A$201,0)),"Check product",E339*D339+F339-I339-G339-H339))</f>
        <v/>
      </c>
      <c r="K339" s="4">
        <f>IF(OR(B339="",NOT(ISNUMBER(J339)),E339*D339+F339=0),"",J339/(E339*D339+F339))</f>
        <v/>
      </c>
    </row>
    <row r="340">
      <c r="A340" s="8" t="n"/>
      <c r="B340" s="6" t="n"/>
      <c r="C340" s="6" t="n"/>
      <c r="D340" s="6" t="n"/>
      <c r="E340" s="7" t="n"/>
      <c r="F340" s="7" t="n"/>
      <c r="G340" s="7" t="n"/>
      <c r="H340" s="3">
        <f>IFERROR(VLOOKUP(B340,Inventory!$A:$B,2,FALSE)*D340,0)</f>
        <v/>
      </c>
      <c r="I340" s="3">
        <f>IF(C340="",0,IFERROR(VLOOKUP(C340,Settings!$A$2:$F$5,2,FALSE)+(E340*D340+F340)*VLOOKUP(C340,Settings!$A$2:$F$5,3,FALSE)/100+(E340*D340+F340)*VLOOKUP(C340,Settings!$A$2:$F$5,4,FALSE)/100+VLOOKUP(C340,Settings!$A$2:$F$5,5,FALSE)+VLOOKUP(C340,Settings!$A$2:$F$5,6,FALSE),0))</f>
        <v/>
      </c>
      <c r="J340" s="3">
        <f>IF(B340="","",IF(ISNA(MATCH(B340,Inventory!$A$2:$A$201,0)),"Check product",E340*D340+F340-I340-G340-H340))</f>
        <v/>
      </c>
      <c r="K340" s="4">
        <f>IF(OR(B340="",NOT(ISNUMBER(J340)),E340*D340+F340=0),"",J340/(E340*D340+F340))</f>
        <v/>
      </c>
    </row>
    <row r="341">
      <c r="A341" s="8" t="n"/>
      <c r="B341" s="6" t="n"/>
      <c r="C341" s="6" t="n"/>
      <c r="D341" s="6" t="n"/>
      <c r="E341" s="7" t="n"/>
      <c r="F341" s="7" t="n"/>
      <c r="G341" s="7" t="n"/>
      <c r="H341" s="3">
        <f>IFERROR(VLOOKUP(B341,Inventory!$A:$B,2,FALSE)*D341,0)</f>
        <v/>
      </c>
      <c r="I341" s="3">
        <f>IF(C341="",0,IFERROR(VLOOKUP(C341,Settings!$A$2:$F$5,2,FALSE)+(E341*D341+F341)*VLOOKUP(C341,Settings!$A$2:$F$5,3,FALSE)/100+(E341*D341+F341)*VLOOKUP(C341,Settings!$A$2:$F$5,4,FALSE)/100+VLOOKUP(C341,Settings!$A$2:$F$5,5,FALSE)+VLOOKUP(C341,Settings!$A$2:$F$5,6,FALSE),0))</f>
        <v/>
      </c>
      <c r="J341" s="3">
        <f>IF(B341="","",IF(ISNA(MATCH(B341,Inventory!$A$2:$A$201,0)),"Check product",E341*D341+F341-I341-G341-H341))</f>
        <v/>
      </c>
      <c r="K341" s="4">
        <f>IF(OR(B341="",NOT(ISNUMBER(J341)),E341*D341+F341=0),"",J341/(E341*D341+F341))</f>
        <v/>
      </c>
    </row>
    <row r="342">
      <c r="A342" s="8" t="n"/>
      <c r="B342" s="6" t="n"/>
      <c r="C342" s="6" t="n"/>
      <c r="D342" s="6" t="n"/>
      <c r="E342" s="7" t="n"/>
      <c r="F342" s="7" t="n"/>
      <c r="G342" s="7" t="n"/>
      <c r="H342" s="3">
        <f>IFERROR(VLOOKUP(B342,Inventory!$A:$B,2,FALSE)*D342,0)</f>
        <v/>
      </c>
      <c r="I342" s="3">
        <f>IF(C342="",0,IFERROR(VLOOKUP(C342,Settings!$A$2:$F$5,2,FALSE)+(E342*D342+F342)*VLOOKUP(C342,Settings!$A$2:$F$5,3,FALSE)/100+(E342*D342+F342)*VLOOKUP(C342,Settings!$A$2:$F$5,4,FALSE)/100+VLOOKUP(C342,Settings!$A$2:$F$5,5,FALSE)+VLOOKUP(C342,Settings!$A$2:$F$5,6,FALSE),0))</f>
        <v/>
      </c>
      <c r="J342" s="3">
        <f>IF(B342="","",IF(ISNA(MATCH(B342,Inventory!$A$2:$A$201,0)),"Check product",E342*D342+F342-I342-G342-H342))</f>
        <v/>
      </c>
      <c r="K342" s="4">
        <f>IF(OR(B342="",NOT(ISNUMBER(J342)),E342*D342+F342=0),"",J342/(E342*D342+F342))</f>
        <v/>
      </c>
    </row>
    <row r="343">
      <c r="A343" s="8" t="n"/>
      <c r="B343" s="6" t="n"/>
      <c r="C343" s="6" t="n"/>
      <c r="D343" s="6" t="n"/>
      <c r="E343" s="7" t="n"/>
      <c r="F343" s="7" t="n"/>
      <c r="G343" s="7" t="n"/>
      <c r="H343" s="3">
        <f>IFERROR(VLOOKUP(B343,Inventory!$A:$B,2,FALSE)*D343,0)</f>
        <v/>
      </c>
      <c r="I343" s="3">
        <f>IF(C343="",0,IFERROR(VLOOKUP(C343,Settings!$A$2:$F$5,2,FALSE)+(E343*D343+F343)*VLOOKUP(C343,Settings!$A$2:$F$5,3,FALSE)/100+(E343*D343+F343)*VLOOKUP(C343,Settings!$A$2:$F$5,4,FALSE)/100+VLOOKUP(C343,Settings!$A$2:$F$5,5,FALSE)+VLOOKUP(C343,Settings!$A$2:$F$5,6,FALSE),0))</f>
        <v/>
      </c>
      <c r="J343" s="3">
        <f>IF(B343="","",IF(ISNA(MATCH(B343,Inventory!$A$2:$A$201,0)),"Check product",E343*D343+F343-I343-G343-H343))</f>
        <v/>
      </c>
      <c r="K343" s="4">
        <f>IF(OR(B343="",NOT(ISNUMBER(J343)),E343*D343+F343=0),"",J343/(E343*D343+F343))</f>
        <v/>
      </c>
    </row>
    <row r="344">
      <c r="A344" s="8" t="n"/>
      <c r="B344" s="6" t="n"/>
      <c r="C344" s="6" t="n"/>
      <c r="D344" s="6" t="n"/>
      <c r="E344" s="7" t="n"/>
      <c r="F344" s="7" t="n"/>
      <c r="G344" s="7" t="n"/>
      <c r="H344" s="3">
        <f>IFERROR(VLOOKUP(B344,Inventory!$A:$B,2,FALSE)*D344,0)</f>
        <v/>
      </c>
      <c r="I344" s="3">
        <f>IF(C344="",0,IFERROR(VLOOKUP(C344,Settings!$A$2:$F$5,2,FALSE)+(E344*D344+F344)*VLOOKUP(C344,Settings!$A$2:$F$5,3,FALSE)/100+(E344*D344+F344)*VLOOKUP(C344,Settings!$A$2:$F$5,4,FALSE)/100+VLOOKUP(C344,Settings!$A$2:$F$5,5,FALSE)+VLOOKUP(C344,Settings!$A$2:$F$5,6,FALSE),0))</f>
        <v/>
      </c>
      <c r="J344" s="3">
        <f>IF(B344="","",IF(ISNA(MATCH(B344,Inventory!$A$2:$A$201,0)),"Check product",E344*D344+F344-I344-G344-H344))</f>
        <v/>
      </c>
      <c r="K344" s="4">
        <f>IF(OR(B344="",NOT(ISNUMBER(J344)),E344*D344+F344=0),"",J344/(E344*D344+F344))</f>
        <v/>
      </c>
    </row>
    <row r="345">
      <c r="A345" s="8" t="n"/>
      <c r="B345" s="6" t="n"/>
      <c r="C345" s="6" t="n"/>
      <c r="D345" s="6" t="n"/>
      <c r="E345" s="7" t="n"/>
      <c r="F345" s="7" t="n"/>
      <c r="G345" s="7" t="n"/>
      <c r="H345" s="3">
        <f>IFERROR(VLOOKUP(B345,Inventory!$A:$B,2,FALSE)*D345,0)</f>
        <v/>
      </c>
      <c r="I345" s="3">
        <f>IF(C345="",0,IFERROR(VLOOKUP(C345,Settings!$A$2:$F$5,2,FALSE)+(E345*D345+F345)*VLOOKUP(C345,Settings!$A$2:$F$5,3,FALSE)/100+(E345*D345+F345)*VLOOKUP(C345,Settings!$A$2:$F$5,4,FALSE)/100+VLOOKUP(C345,Settings!$A$2:$F$5,5,FALSE)+VLOOKUP(C345,Settings!$A$2:$F$5,6,FALSE),0))</f>
        <v/>
      </c>
      <c r="J345" s="3">
        <f>IF(B345="","",IF(ISNA(MATCH(B345,Inventory!$A$2:$A$201,0)),"Check product",E345*D345+F345-I345-G345-H345))</f>
        <v/>
      </c>
      <c r="K345" s="4">
        <f>IF(OR(B345="",NOT(ISNUMBER(J345)),E345*D345+F345=0),"",J345/(E345*D345+F345))</f>
        <v/>
      </c>
    </row>
    <row r="346">
      <c r="A346" s="8" t="n"/>
      <c r="B346" s="6" t="n"/>
      <c r="C346" s="6" t="n"/>
      <c r="D346" s="6" t="n"/>
      <c r="E346" s="7" t="n"/>
      <c r="F346" s="7" t="n"/>
      <c r="G346" s="7" t="n"/>
      <c r="H346" s="3">
        <f>IFERROR(VLOOKUP(B346,Inventory!$A:$B,2,FALSE)*D346,0)</f>
        <v/>
      </c>
      <c r="I346" s="3">
        <f>IF(C346="",0,IFERROR(VLOOKUP(C346,Settings!$A$2:$F$5,2,FALSE)+(E346*D346+F346)*VLOOKUP(C346,Settings!$A$2:$F$5,3,FALSE)/100+(E346*D346+F346)*VLOOKUP(C346,Settings!$A$2:$F$5,4,FALSE)/100+VLOOKUP(C346,Settings!$A$2:$F$5,5,FALSE)+VLOOKUP(C346,Settings!$A$2:$F$5,6,FALSE),0))</f>
        <v/>
      </c>
      <c r="J346" s="3">
        <f>IF(B346="","",IF(ISNA(MATCH(B346,Inventory!$A$2:$A$201,0)),"Check product",E346*D346+F346-I346-G346-H346))</f>
        <v/>
      </c>
      <c r="K346" s="4">
        <f>IF(OR(B346="",NOT(ISNUMBER(J346)),E346*D346+F346=0),"",J346/(E346*D346+F346))</f>
        <v/>
      </c>
    </row>
    <row r="347">
      <c r="A347" s="8" t="n"/>
      <c r="B347" s="6" t="n"/>
      <c r="C347" s="6" t="n"/>
      <c r="D347" s="6" t="n"/>
      <c r="E347" s="7" t="n"/>
      <c r="F347" s="7" t="n"/>
      <c r="G347" s="7" t="n"/>
      <c r="H347" s="3">
        <f>IFERROR(VLOOKUP(B347,Inventory!$A:$B,2,FALSE)*D347,0)</f>
        <v/>
      </c>
      <c r="I347" s="3">
        <f>IF(C347="",0,IFERROR(VLOOKUP(C347,Settings!$A$2:$F$5,2,FALSE)+(E347*D347+F347)*VLOOKUP(C347,Settings!$A$2:$F$5,3,FALSE)/100+(E347*D347+F347)*VLOOKUP(C347,Settings!$A$2:$F$5,4,FALSE)/100+VLOOKUP(C347,Settings!$A$2:$F$5,5,FALSE)+VLOOKUP(C347,Settings!$A$2:$F$5,6,FALSE),0))</f>
        <v/>
      </c>
      <c r="J347" s="3">
        <f>IF(B347="","",IF(ISNA(MATCH(B347,Inventory!$A$2:$A$201,0)),"Check product",E347*D347+F347-I347-G347-H347))</f>
        <v/>
      </c>
      <c r="K347" s="4">
        <f>IF(OR(B347="",NOT(ISNUMBER(J347)),E347*D347+F347=0),"",J347/(E347*D347+F347))</f>
        <v/>
      </c>
    </row>
    <row r="348">
      <c r="A348" s="8" t="n"/>
      <c r="B348" s="6" t="n"/>
      <c r="C348" s="6" t="n"/>
      <c r="D348" s="6" t="n"/>
      <c r="E348" s="7" t="n"/>
      <c r="F348" s="7" t="n"/>
      <c r="G348" s="7" t="n"/>
      <c r="H348" s="3">
        <f>IFERROR(VLOOKUP(B348,Inventory!$A:$B,2,FALSE)*D348,0)</f>
        <v/>
      </c>
      <c r="I348" s="3">
        <f>IF(C348="",0,IFERROR(VLOOKUP(C348,Settings!$A$2:$F$5,2,FALSE)+(E348*D348+F348)*VLOOKUP(C348,Settings!$A$2:$F$5,3,FALSE)/100+(E348*D348+F348)*VLOOKUP(C348,Settings!$A$2:$F$5,4,FALSE)/100+VLOOKUP(C348,Settings!$A$2:$F$5,5,FALSE)+VLOOKUP(C348,Settings!$A$2:$F$5,6,FALSE),0))</f>
        <v/>
      </c>
      <c r="J348" s="3">
        <f>IF(B348="","",IF(ISNA(MATCH(B348,Inventory!$A$2:$A$201,0)),"Check product",E348*D348+F348-I348-G348-H348))</f>
        <v/>
      </c>
      <c r="K348" s="4">
        <f>IF(OR(B348="",NOT(ISNUMBER(J348)),E348*D348+F348=0),"",J348/(E348*D348+F348))</f>
        <v/>
      </c>
    </row>
    <row r="349">
      <c r="A349" s="8" t="n"/>
      <c r="B349" s="6" t="n"/>
      <c r="C349" s="6" t="n"/>
      <c r="D349" s="6" t="n"/>
      <c r="E349" s="7" t="n"/>
      <c r="F349" s="7" t="n"/>
      <c r="G349" s="7" t="n"/>
      <c r="H349" s="3">
        <f>IFERROR(VLOOKUP(B349,Inventory!$A:$B,2,FALSE)*D349,0)</f>
        <v/>
      </c>
      <c r="I349" s="3">
        <f>IF(C349="",0,IFERROR(VLOOKUP(C349,Settings!$A$2:$F$5,2,FALSE)+(E349*D349+F349)*VLOOKUP(C349,Settings!$A$2:$F$5,3,FALSE)/100+(E349*D349+F349)*VLOOKUP(C349,Settings!$A$2:$F$5,4,FALSE)/100+VLOOKUP(C349,Settings!$A$2:$F$5,5,FALSE)+VLOOKUP(C349,Settings!$A$2:$F$5,6,FALSE),0))</f>
        <v/>
      </c>
      <c r="J349" s="3">
        <f>IF(B349="","",IF(ISNA(MATCH(B349,Inventory!$A$2:$A$201,0)),"Check product",E349*D349+F349-I349-G349-H349))</f>
        <v/>
      </c>
      <c r="K349" s="4">
        <f>IF(OR(B349="",NOT(ISNUMBER(J349)),E349*D349+F349=0),"",J349/(E349*D349+F349))</f>
        <v/>
      </c>
    </row>
    <row r="350">
      <c r="A350" s="8" t="n"/>
      <c r="B350" s="6" t="n"/>
      <c r="C350" s="6" t="n"/>
      <c r="D350" s="6" t="n"/>
      <c r="E350" s="7" t="n"/>
      <c r="F350" s="7" t="n"/>
      <c r="G350" s="7" t="n"/>
      <c r="H350" s="3">
        <f>IFERROR(VLOOKUP(B350,Inventory!$A:$B,2,FALSE)*D350,0)</f>
        <v/>
      </c>
      <c r="I350" s="3">
        <f>IF(C350="",0,IFERROR(VLOOKUP(C350,Settings!$A$2:$F$5,2,FALSE)+(E350*D350+F350)*VLOOKUP(C350,Settings!$A$2:$F$5,3,FALSE)/100+(E350*D350+F350)*VLOOKUP(C350,Settings!$A$2:$F$5,4,FALSE)/100+VLOOKUP(C350,Settings!$A$2:$F$5,5,FALSE)+VLOOKUP(C350,Settings!$A$2:$F$5,6,FALSE),0))</f>
        <v/>
      </c>
      <c r="J350" s="3">
        <f>IF(B350="","",IF(ISNA(MATCH(B350,Inventory!$A$2:$A$201,0)),"Check product",E350*D350+F350-I350-G350-H350))</f>
        <v/>
      </c>
      <c r="K350" s="4">
        <f>IF(OR(B350="",NOT(ISNUMBER(J350)),E350*D350+F350=0),"",J350/(E350*D350+F350))</f>
        <v/>
      </c>
    </row>
    <row r="351">
      <c r="A351" s="8" t="n"/>
      <c r="B351" s="6" t="n"/>
      <c r="C351" s="6" t="n"/>
      <c r="D351" s="6" t="n"/>
      <c r="E351" s="7" t="n"/>
      <c r="F351" s="7" t="n"/>
      <c r="G351" s="7" t="n"/>
      <c r="H351" s="3">
        <f>IFERROR(VLOOKUP(B351,Inventory!$A:$B,2,FALSE)*D351,0)</f>
        <v/>
      </c>
      <c r="I351" s="3">
        <f>IF(C351="",0,IFERROR(VLOOKUP(C351,Settings!$A$2:$F$5,2,FALSE)+(E351*D351+F351)*VLOOKUP(C351,Settings!$A$2:$F$5,3,FALSE)/100+(E351*D351+F351)*VLOOKUP(C351,Settings!$A$2:$F$5,4,FALSE)/100+VLOOKUP(C351,Settings!$A$2:$F$5,5,FALSE)+VLOOKUP(C351,Settings!$A$2:$F$5,6,FALSE),0))</f>
        <v/>
      </c>
      <c r="J351" s="3">
        <f>IF(B351="","",IF(ISNA(MATCH(B351,Inventory!$A$2:$A$201,0)),"Check product",E351*D351+F351-I351-G351-H351))</f>
        <v/>
      </c>
      <c r="K351" s="4">
        <f>IF(OR(B351="",NOT(ISNUMBER(J351)),E351*D351+F351=0),"",J351/(E351*D351+F351))</f>
        <v/>
      </c>
    </row>
    <row r="352">
      <c r="A352" s="8" t="n"/>
      <c r="B352" s="6" t="n"/>
      <c r="C352" s="6" t="n"/>
      <c r="D352" s="6" t="n"/>
      <c r="E352" s="7" t="n"/>
      <c r="F352" s="7" t="n"/>
      <c r="G352" s="7" t="n"/>
      <c r="H352" s="3">
        <f>IFERROR(VLOOKUP(B352,Inventory!$A:$B,2,FALSE)*D352,0)</f>
        <v/>
      </c>
      <c r="I352" s="3">
        <f>IF(C352="",0,IFERROR(VLOOKUP(C352,Settings!$A$2:$F$5,2,FALSE)+(E352*D352+F352)*VLOOKUP(C352,Settings!$A$2:$F$5,3,FALSE)/100+(E352*D352+F352)*VLOOKUP(C352,Settings!$A$2:$F$5,4,FALSE)/100+VLOOKUP(C352,Settings!$A$2:$F$5,5,FALSE)+VLOOKUP(C352,Settings!$A$2:$F$5,6,FALSE),0))</f>
        <v/>
      </c>
      <c r="J352" s="3">
        <f>IF(B352="","",IF(ISNA(MATCH(B352,Inventory!$A$2:$A$201,0)),"Check product",E352*D352+F352-I352-G352-H352))</f>
        <v/>
      </c>
      <c r="K352" s="4">
        <f>IF(OR(B352="",NOT(ISNUMBER(J352)),E352*D352+F352=0),"",J352/(E352*D352+F352))</f>
        <v/>
      </c>
    </row>
    <row r="353">
      <c r="A353" s="8" t="n"/>
      <c r="B353" s="6" t="n"/>
      <c r="C353" s="6" t="n"/>
      <c r="D353" s="6" t="n"/>
      <c r="E353" s="7" t="n"/>
      <c r="F353" s="7" t="n"/>
      <c r="G353" s="7" t="n"/>
      <c r="H353" s="3">
        <f>IFERROR(VLOOKUP(B353,Inventory!$A:$B,2,FALSE)*D353,0)</f>
        <v/>
      </c>
      <c r="I353" s="3">
        <f>IF(C353="",0,IFERROR(VLOOKUP(C353,Settings!$A$2:$F$5,2,FALSE)+(E353*D353+F353)*VLOOKUP(C353,Settings!$A$2:$F$5,3,FALSE)/100+(E353*D353+F353)*VLOOKUP(C353,Settings!$A$2:$F$5,4,FALSE)/100+VLOOKUP(C353,Settings!$A$2:$F$5,5,FALSE)+VLOOKUP(C353,Settings!$A$2:$F$5,6,FALSE),0))</f>
        <v/>
      </c>
      <c r="J353" s="3">
        <f>IF(B353="","",IF(ISNA(MATCH(B353,Inventory!$A$2:$A$201,0)),"Check product",E353*D353+F353-I353-G353-H353))</f>
        <v/>
      </c>
      <c r="K353" s="4">
        <f>IF(OR(B353="",NOT(ISNUMBER(J353)),E353*D353+F353=0),"",J353/(E353*D353+F353))</f>
        <v/>
      </c>
    </row>
    <row r="354">
      <c r="A354" s="8" t="n"/>
      <c r="B354" s="6" t="n"/>
      <c r="C354" s="6" t="n"/>
      <c r="D354" s="6" t="n"/>
      <c r="E354" s="7" t="n"/>
      <c r="F354" s="7" t="n"/>
      <c r="G354" s="7" t="n"/>
      <c r="H354" s="3">
        <f>IFERROR(VLOOKUP(B354,Inventory!$A:$B,2,FALSE)*D354,0)</f>
        <v/>
      </c>
      <c r="I354" s="3">
        <f>IF(C354="",0,IFERROR(VLOOKUP(C354,Settings!$A$2:$F$5,2,FALSE)+(E354*D354+F354)*VLOOKUP(C354,Settings!$A$2:$F$5,3,FALSE)/100+(E354*D354+F354)*VLOOKUP(C354,Settings!$A$2:$F$5,4,FALSE)/100+VLOOKUP(C354,Settings!$A$2:$F$5,5,FALSE)+VLOOKUP(C354,Settings!$A$2:$F$5,6,FALSE),0))</f>
        <v/>
      </c>
      <c r="J354" s="3">
        <f>IF(B354="","",IF(ISNA(MATCH(B354,Inventory!$A$2:$A$201,0)),"Check product",E354*D354+F354-I354-G354-H354))</f>
        <v/>
      </c>
      <c r="K354" s="4">
        <f>IF(OR(B354="",NOT(ISNUMBER(J354)),E354*D354+F354=0),"",J354/(E354*D354+F354))</f>
        <v/>
      </c>
    </row>
    <row r="355">
      <c r="A355" s="8" t="n"/>
      <c r="B355" s="6" t="n"/>
      <c r="C355" s="6" t="n"/>
      <c r="D355" s="6" t="n"/>
      <c r="E355" s="7" t="n"/>
      <c r="F355" s="7" t="n"/>
      <c r="G355" s="7" t="n"/>
      <c r="H355" s="3">
        <f>IFERROR(VLOOKUP(B355,Inventory!$A:$B,2,FALSE)*D355,0)</f>
        <v/>
      </c>
      <c r="I355" s="3">
        <f>IF(C355="",0,IFERROR(VLOOKUP(C355,Settings!$A$2:$F$5,2,FALSE)+(E355*D355+F355)*VLOOKUP(C355,Settings!$A$2:$F$5,3,FALSE)/100+(E355*D355+F355)*VLOOKUP(C355,Settings!$A$2:$F$5,4,FALSE)/100+VLOOKUP(C355,Settings!$A$2:$F$5,5,FALSE)+VLOOKUP(C355,Settings!$A$2:$F$5,6,FALSE),0))</f>
        <v/>
      </c>
      <c r="J355" s="3">
        <f>IF(B355="","",IF(ISNA(MATCH(B355,Inventory!$A$2:$A$201,0)),"Check product",E355*D355+F355-I355-G355-H355))</f>
        <v/>
      </c>
      <c r="K355" s="4">
        <f>IF(OR(B355="",NOT(ISNUMBER(J355)),E355*D355+F355=0),"",J355/(E355*D355+F355))</f>
        <v/>
      </c>
    </row>
    <row r="356">
      <c r="A356" s="8" t="n"/>
      <c r="B356" s="6" t="n"/>
      <c r="C356" s="6" t="n"/>
      <c r="D356" s="6" t="n"/>
      <c r="E356" s="7" t="n"/>
      <c r="F356" s="7" t="n"/>
      <c r="G356" s="7" t="n"/>
      <c r="H356" s="3">
        <f>IFERROR(VLOOKUP(B356,Inventory!$A:$B,2,FALSE)*D356,0)</f>
        <v/>
      </c>
      <c r="I356" s="3">
        <f>IF(C356="",0,IFERROR(VLOOKUP(C356,Settings!$A$2:$F$5,2,FALSE)+(E356*D356+F356)*VLOOKUP(C356,Settings!$A$2:$F$5,3,FALSE)/100+(E356*D356+F356)*VLOOKUP(C356,Settings!$A$2:$F$5,4,FALSE)/100+VLOOKUP(C356,Settings!$A$2:$F$5,5,FALSE)+VLOOKUP(C356,Settings!$A$2:$F$5,6,FALSE),0))</f>
        <v/>
      </c>
      <c r="J356" s="3">
        <f>IF(B356="","",IF(ISNA(MATCH(B356,Inventory!$A$2:$A$201,0)),"Check product",E356*D356+F356-I356-G356-H356))</f>
        <v/>
      </c>
      <c r="K356" s="4">
        <f>IF(OR(B356="",NOT(ISNUMBER(J356)),E356*D356+F356=0),"",J356/(E356*D356+F356))</f>
        <v/>
      </c>
    </row>
    <row r="357">
      <c r="A357" s="8" t="n"/>
      <c r="B357" s="6" t="n"/>
      <c r="C357" s="6" t="n"/>
      <c r="D357" s="6" t="n"/>
      <c r="E357" s="7" t="n"/>
      <c r="F357" s="7" t="n"/>
      <c r="G357" s="7" t="n"/>
      <c r="H357" s="3">
        <f>IFERROR(VLOOKUP(B357,Inventory!$A:$B,2,FALSE)*D357,0)</f>
        <v/>
      </c>
      <c r="I357" s="3">
        <f>IF(C357="",0,IFERROR(VLOOKUP(C357,Settings!$A$2:$F$5,2,FALSE)+(E357*D357+F357)*VLOOKUP(C357,Settings!$A$2:$F$5,3,FALSE)/100+(E357*D357+F357)*VLOOKUP(C357,Settings!$A$2:$F$5,4,FALSE)/100+VLOOKUP(C357,Settings!$A$2:$F$5,5,FALSE)+VLOOKUP(C357,Settings!$A$2:$F$5,6,FALSE),0))</f>
        <v/>
      </c>
      <c r="J357" s="3">
        <f>IF(B357="","",IF(ISNA(MATCH(B357,Inventory!$A$2:$A$201,0)),"Check product",E357*D357+F357-I357-G357-H357))</f>
        <v/>
      </c>
      <c r="K357" s="4">
        <f>IF(OR(B357="",NOT(ISNUMBER(J357)),E357*D357+F357=0),"",J357/(E357*D357+F357))</f>
        <v/>
      </c>
    </row>
    <row r="358">
      <c r="A358" s="8" t="n"/>
      <c r="B358" s="6" t="n"/>
      <c r="C358" s="6" t="n"/>
      <c r="D358" s="6" t="n"/>
      <c r="E358" s="7" t="n"/>
      <c r="F358" s="7" t="n"/>
      <c r="G358" s="7" t="n"/>
      <c r="H358" s="3">
        <f>IFERROR(VLOOKUP(B358,Inventory!$A:$B,2,FALSE)*D358,0)</f>
        <v/>
      </c>
      <c r="I358" s="3">
        <f>IF(C358="",0,IFERROR(VLOOKUP(C358,Settings!$A$2:$F$5,2,FALSE)+(E358*D358+F358)*VLOOKUP(C358,Settings!$A$2:$F$5,3,FALSE)/100+(E358*D358+F358)*VLOOKUP(C358,Settings!$A$2:$F$5,4,FALSE)/100+VLOOKUP(C358,Settings!$A$2:$F$5,5,FALSE)+VLOOKUP(C358,Settings!$A$2:$F$5,6,FALSE),0))</f>
        <v/>
      </c>
      <c r="J358" s="3">
        <f>IF(B358="","",IF(ISNA(MATCH(B358,Inventory!$A$2:$A$201,0)),"Check product",E358*D358+F358-I358-G358-H358))</f>
        <v/>
      </c>
      <c r="K358" s="4">
        <f>IF(OR(B358="",NOT(ISNUMBER(J358)),E358*D358+F358=0),"",J358/(E358*D358+F358))</f>
        <v/>
      </c>
    </row>
    <row r="359">
      <c r="A359" s="8" t="n"/>
      <c r="B359" s="6" t="n"/>
      <c r="C359" s="6" t="n"/>
      <c r="D359" s="6" t="n"/>
      <c r="E359" s="7" t="n"/>
      <c r="F359" s="7" t="n"/>
      <c r="G359" s="7" t="n"/>
      <c r="H359" s="3">
        <f>IFERROR(VLOOKUP(B359,Inventory!$A:$B,2,FALSE)*D359,0)</f>
        <v/>
      </c>
      <c r="I359" s="3">
        <f>IF(C359="",0,IFERROR(VLOOKUP(C359,Settings!$A$2:$F$5,2,FALSE)+(E359*D359+F359)*VLOOKUP(C359,Settings!$A$2:$F$5,3,FALSE)/100+(E359*D359+F359)*VLOOKUP(C359,Settings!$A$2:$F$5,4,FALSE)/100+VLOOKUP(C359,Settings!$A$2:$F$5,5,FALSE)+VLOOKUP(C359,Settings!$A$2:$F$5,6,FALSE),0))</f>
        <v/>
      </c>
      <c r="J359" s="3">
        <f>IF(B359="","",IF(ISNA(MATCH(B359,Inventory!$A$2:$A$201,0)),"Check product",E359*D359+F359-I359-G359-H359))</f>
        <v/>
      </c>
      <c r="K359" s="4">
        <f>IF(OR(B359="",NOT(ISNUMBER(J359)),E359*D359+F359=0),"",J359/(E359*D359+F359))</f>
        <v/>
      </c>
    </row>
    <row r="360">
      <c r="A360" s="8" t="n"/>
      <c r="B360" s="6" t="n"/>
      <c r="C360" s="6" t="n"/>
      <c r="D360" s="6" t="n"/>
      <c r="E360" s="7" t="n"/>
      <c r="F360" s="7" t="n"/>
      <c r="G360" s="7" t="n"/>
      <c r="H360" s="3">
        <f>IFERROR(VLOOKUP(B360,Inventory!$A:$B,2,FALSE)*D360,0)</f>
        <v/>
      </c>
      <c r="I360" s="3">
        <f>IF(C360="",0,IFERROR(VLOOKUP(C360,Settings!$A$2:$F$5,2,FALSE)+(E360*D360+F360)*VLOOKUP(C360,Settings!$A$2:$F$5,3,FALSE)/100+(E360*D360+F360)*VLOOKUP(C360,Settings!$A$2:$F$5,4,FALSE)/100+VLOOKUP(C360,Settings!$A$2:$F$5,5,FALSE)+VLOOKUP(C360,Settings!$A$2:$F$5,6,FALSE),0))</f>
        <v/>
      </c>
      <c r="J360" s="3">
        <f>IF(B360="","",IF(ISNA(MATCH(B360,Inventory!$A$2:$A$201,0)),"Check product",E360*D360+F360-I360-G360-H360))</f>
        <v/>
      </c>
      <c r="K360" s="4">
        <f>IF(OR(B360="",NOT(ISNUMBER(J360)),E360*D360+F360=0),"",J360/(E360*D360+F360))</f>
        <v/>
      </c>
    </row>
    <row r="361">
      <c r="A361" s="8" t="n"/>
      <c r="B361" s="6" t="n"/>
      <c r="C361" s="6" t="n"/>
      <c r="D361" s="6" t="n"/>
      <c r="E361" s="7" t="n"/>
      <c r="F361" s="7" t="n"/>
      <c r="G361" s="7" t="n"/>
      <c r="H361" s="3">
        <f>IFERROR(VLOOKUP(B361,Inventory!$A:$B,2,FALSE)*D361,0)</f>
        <v/>
      </c>
      <c r="I361" s="3">
        <f>IF(C361="",0,IFERROR(VLOOKUP(C361,Settings!$A$2:$F$5,2,FALSE)+(E361*D361+F361)*VLOOKUP(C361,Settings!$A$2:$F$5,3,FALSE)/100+(E361*D361+F361)*VLOOKUP(C361,Settings!$A$2:$F$5,4,FALSE)/100+VLOOKUP(C361,Settings!$A$2:$F$5,5,FALSE)+VLOOKUP(C361,Settings!$A$2:$F$5,6,FALSE),0))</f>
        <v/>
      </c>
      <c r="J361" s="3">
        <f>IF(B361="","",IF(ISNA(MATCH(B361,Inventory!$A$2:$A$201,0)),"Check product",E361*D361+F361-I361-G361-H361))</f>
        <v/>
      </c>
      <c r="K361" s="4">
        <f>IF(OR(B361="",NOT(ISNUMBER(J361)),E361*D361+F361=0),"",J361/(E361*D361+F361))</f>
        <v/>
      </c>
    </row>
    <row r="362">
      <c r="A362" s="8" t="n"/>
      <c r="B362" s="6" t="n"/>
      <c r="C362" s="6" t="n"/>
      <c r="D362" s="6" t="n"/>
      <c r="E362" s="7" t="n"/>
      <c r="F362" s="7" t="n"/>
      <c r="G362" s="7" t="n"/>
      <c r="H362" s="3">
        <f>IFERROR(VLOOKUP(B362,Inventory!$A:$B,2,FALSE)*D362,0)</f>
        <v/>
      </c>
      <c r="I362" s="3">
        <f>IF(C362="",0,IFERROR(VLOOKUP(C362,Settings!$A$2:$F$5,2,FALSE)+(E362*D362+F362)*VLOOKUP(C362,Settings!$A$2:$F$5,3,FALSE)/100+(E362*D362+F362)*VLOOKUP(C362,Settings!$A$2:$F$5,4,FALSE)/100+VLOOKUP(C362,Settings!$A$2:$F$5,5,FALSE)+VLOOKUP(C362,Settings!$A$2:$F$5,6,FALSE),0))</f>
        <v/>
      </c>
      <c r="J362" s="3">
        <f>IF(B362="","",IF(ISNA(MATCH(B362,Inventory!$A$2:$A$201,0)),"Check product",E362*D362+F362-I362-G362-H362))</f>
        <v/>
      </c>
      <c r="K362" s="4">
        <f>IF(OR(B362="",NOT(ISNUMBER(J362)),E362*D362+F362=0),"",J362/(E362*D362+F362))</f>
        <v/>
      </c>
    </row>
    <row r="363">
      <c r="A363" s="8" t="n"/>
      <c r="B363" s="6" t="n"/>
      <c r="C363" s="6" t="n"/>
      <c r="D363" s="6" t="n"/>
      <c r="E363" s="7" t="n"/>
      <c r="F363" s="7" t="n"/>
      <c r="G363" s="7" t="n"/>
      <c r="H363" s="3">
        <f>IFERROR(VLOOKUP(B363,Inventory!$A:$B,2,FALSE)*D363,0)</f>
        <v/>
      </c>
      <c r="I363" s="3">
        <f>IF(C363="",0,IFERROR(VLOOKUP(C363,Settings!$A$2:$F$5,2,FALSE)+(E363*D363+F363)*VLOOKUP(C363,Settings!$A$2:$F$5,3,FALSE)/100+(E363*D363+F363)*VLOOKUP(C363,Settings!$A$2:$F$5,4,FALSE)/100+VLOOKUP(C363,Settings!$A$2:$F$5,5,FALSE)+VLOOKUP(C363,Settings!$A$2:$F$5,6,FALSE),0))</f>
        <v/>
      </c>
      <c r="J363" s="3">
        <f>IF(B363="","",IF(ISNA(MATCH(B363,Inventory!$A$2:$A$201,0)),"Check product",E363*D363+F363-I363-G363-H363))</f>
        <v/>
      </c>
      <c r="K363" s="4">
        <f>IF(OR(B363="",NOT(ISNUMBER(J363)),E363*D363+F363=0),"",J363/(E363*D363+F363))</f>
        <v/>
      </c>
    </row>
    <row r="364">
      <c r="A364" s="8" t="n"/>
      <c r="B364" s="6" t="n"/>
      <c r="C364" s="6" t="n"/>
      <c r="D364" s="6" t="n"/>
      <c r="E364" s="7" t="n"/>
      <c r="F364" s="7" t="n"/>
      <c r="G364" s="7" t="n"/>
      <c r="H364" s="3">
        <f>IFERROR(VLOOKUP(B364,Inventory!$A:$B,2,FALSE)*D364,0)</f>
        <v/>
      </c>
      <c r="I364" s="3">
        <f>IF(C364="",0,IFERROR(VLOOKUP(C364,Settings!$A$2:$F$5,2,FALSE)+(E364*D364+F364)*VLOOKUP(C364,Settings!$A$2:$F$5,3,FALSE)/100+(E364*D364+F364)*VLOOKUP(C364,Settings!$A$2:$F$5,4,FALSE)/100+VLOOKUP(C364,Settings!$A$2:$F$5,5,FALSE)+VLOOKUP(C364,Settings!$A$2:$F$5,6,FALSE),0))</f>
        <v/>
      </c>
      <c r="J364" s="3">
        <f>IF(B364="","",IF(ISNA(MATCH(B364,Inventory!$A$2:$A$201,0)),"Check product",E364*D364+F364-I364-G364-H364))</f>
        <v/>
      </c>
      <c r="K364" s="4">
        <f>IF(OR(B364="",NOT(ISNUMBER(J364)),E364*D364+F364=0),"",J364/(E364*D364+F364))</f>
        <v/>
      </c>
    </row>
    <row r="365">
      <c r="A365" s="8" t="n"/>
      <c r="B365" s="6" t="n"/>
      <c r="C365" s="6" t="n"/>
      <c r="D365" s="6" t="n"/>
      <c r="E365" s="7" t="n"/>
      <c r="F365" s="7" t="n"/>
      <c r="G365" s="7" t="n"/>
      <c r="H365" s="3">
        <f>IFERROR(VLOOKUP(B365,Inventory!$A:$B,2,FALSE)*D365,0)</f>
        <v/>
      </c>
      <c r="I365" s="3">
        <f>IF(C365="",0,IFERROR(VLOOKUP(C365,Settings!$A$2:$F$5,2,FALSE)+(E365*D365+F365)*VLOOKUP(C365,Settings!$A$2:$F$5,3,FALSE)/100+(E365*D365+F365)*VLOOKUP(C365,Settings!$A$2:$F$5,4,FALSE)/100+VLOOKUP(C365,Settings!$A$2:$F$5,5,FALSE)+VLOOKUP(C365,Settings!$A$2:$F$5,6,FALSE),0))</f>
        <v/>
      </c>
      <c r="J365" s="3">
        <f>IF(B365="","",IF(ISNA(MATCH(B365,Inventory!$A$2:$A$201,0)),"Check product",E365*D365+F365-I365-G365-H365))</f>
        <v/>
      </c>
      <c r="K365" s="4">
        <f>IF(OR(B365="",NOT(ISNUMBER(J365)),E365*D365+F365=0),"",J365/(E365*D365+F365))</f>
        <v/>
      </c>
    </row>
    <row r="366">
      <c r="A366" s="8" t="n"/>
      <c r="B366" s="6" t="n"/>
      <c r="C366" s="6" t="n"/>
      <c r="D366" s="6" t="n"/>
      <c r="E366" s="7" t="n"/>
      <c r="F366" s="7" t="n"/>
      <c r="G366" s="7" t="n"/>
      <c r="H366" s="3">
        <f>IFERROR(VLOOKUP(B366,Inventory!$A:$B,2,FALSE)*D366,0)</f>
        <v/>
      </c>
      <c r="I366" s="3">
        <f>IF(C366="",0,IFERROR(VLOOKUP(C366,Settings!$A$2:$F$5,2,FALSE)+(E366*D366+F366)*VLOOKUP(C366,Settings!$A$2:$F$5,3,FALSE)/100+(E366*D366+F366)*VLOOKUP(C366,Settings!$A$2:$F$5,4,FALSE)/100+VLOOKUP(C366,Settings!$A$2:$F$5,5,FALSE)+VLOOKUP(C366,Settings!$A$2:$F$5,6,FALSE),0))</f>
        <v/>
      </c>
      <c r="J366" s="3">
        <f>IF(B366="","",IF(ISNA(MATCH(B366,Inventory!$A$2:$A$201,0)),"Check product",E366*D366+F366-I366-G366-H366))</f>
        <v/>
      </c>
      <c r="K366" s="4">
        <f>IF(OR(B366="",NOT(ISNUMBER(J366)),E366*D366+F366=0),"",J366/(E366*D366+F366))</f>
        <v/>
      </c>
    </row>
    <row r="367">
      <c r="A367" s="8" t="n"/>
      <c r="B367" s="6" t="n"/>
      <c r="C367" s="6" t="n"/>
      <c r="D367" s="6" t="n"/>
      <c r="E367" s="7" t="n"/>
      <c r="F367" s="7" t="n"/>
      <c r="G367" s="7" t="n"/>
      <c r="H367" s="3">
        <f>IFERROR(VLOOKUP(B367,Inventory!$A:$B,2,FALSE)*D367,0)</f>
        <v/>
      </c>
      <c r="I367" s="3">
        <f>IF(C367="",0,IFERROR(VLOOKUP(C367,Settings!$A$2:$F$5,2,FALSE)+(E367*D367+F367)*VLOOKUP(C367,Settings!$A$2:$F$5,3,FALSE)/100+(E367*D367+F367)*VLOOKUP(C367,Settings!$A$2:$F$5,4,FALSE)/100+VLOOKUP(C367,Settings!$A$2:$F$5,5,FALSE)+VLOOKUP(C367,Settings!$A$2:$F$5,6,FALSE),0))</f>
        <v/>
      </c>
      <c r="J367" s="3">
        <f>IF(B367="","",IF(ISNA(MATCH(B367,Inventory!$A$2:$A$201,0)),"Check product",E367*D367+F367-I367-G367-H367))</f>
        <v/>
      </c>
      <c r="K367" s="4">
        <f>IF(OR(B367="",NOT(ISNUMBER(J367)),E367*D367+F367=0),"",J367/(E367*D367+F367))</f>
        <v/>
      </c>
    </row>
    <row r="368">
      <c r="A368" s="8" t="n"/>
      <c r="B368" s="6" t="n"/>
      <c r="C368" s="6" t="n"/>
      <c r="D368" s="6" t="n"/>
      <c r="E368" s="7" t="n"/>
      <c r="F368" s="7" t="n"/>
      <c r="G368" s="7" t="n"/>
      <c r="H368" s="3">
        <f>IFERROR(VLOOKUP(B368,Inventory!$A:$B,2,FALSE)*D368,0)</f>
        <v/>
      </c>
      <c r="I368" s="3">
        <f>IF(C368="",0,IFERROR(VLOOKUP(C368,Settings!$A$2:$F$5,2,FALSE)+(E368*D368+F368)*VLOOKUP(C368,Settings!$A$2:$F$5,3,FALSE)/100+(E368*D368+F368)*VLOOKUP(C368,Settings!$A$2:$F$5,4,FALSE)/100+VLOOKUP(C368,Settings!$A$2:$F$5,5,FALSE)+VLOOKUP(C368,Settings!$A$2:$F$5,6,FALSE),0))</f>
        <v/>
      </c>
      <c r="J368" s="3">
        <f>IF(B368="","",IF(ISNA(MATCH(B368,Inventory!$A$2:$A$201,0)),"Check product",E368*D368+F368-I368-G368-H368))</f>
        <v/>
      </c>
      <c r="K368" s="4">
        <f>IF(OR(B368="",NOT(ISNUMBER(J368)),E368*D368+F368=0),"",J368/(E368*D368+F368))</f>
        <v/>
      </c>
    </row>
    <row r="369">
      <c r="A369" s="8" t="n"/>
      <c r="B369" s="6" t="n"/>
      <c r="C369" s="6" t="n"/>
      <c r="D369" s="6" t="n"/>
      <c r="E369" s="7" t="n"/>
      <c r="F369" s="7" t="n"/>
      <c r="G369" s="7" t="n"/>
      <c r="H369" s="3">
        <f>IFERROR(VLOOKUP(B369,Inventory!$A:$B,2,FALSE)*D369,0)</f>
        <v/>
      </c>
      <c r="I369" s="3">
        <f>IF(C369="",0,IFERROR(VLOOKUP(C369,Settings!$A$2:$F$5,2,FALSE)+(E369*D369+F369)*VLOOKUP(C369,Settings!$A$2:$F$5,3,FALSE)/100+(E369*D369+F369)*VLOOKUP(C369,Settings!$A$2:$F$5,4,FALSE)/100+VLOOKUP(C369,Settings!$A$2:$F$5,5,FALSE)+VLOOKUP(C369,Settings!$A$2:$F$5,6,FALSE),0))</f>
        <v/>
      </c>
      <c r="J369" s="3">
        <f>IF(B369="","",IF(ISNA(MATCH(B369,Inventory!$A$2:$A$201,0)),"Check product",E369*D369+F369-I369-G369-H369))</f>
        <v/>
      </c>
      <c r="K369" s="4">
        <f>IF(OR(B369="",NOT(ISNUMBER(J369)),E369*D369+F369=0),"",J369/(E369*D369+F369))</f>
        <v/>
      </c>
    </row>
    <row r="370">
      <c r="A370" s="8" t="n"/>
      <c r="B370" s="6" t="n"/>
      <c r="C370" s="6" t="n"/>
      <c r="D370" s="6" t="n"/>
      <c r="E370" s="7" t="n"/>
      <c r="F370" s="7" t="n"/>
      <c r="G370" s="7" t="n"/>
      <c r="H370" s="3">
        <f>IFERROR(VLOOKUP(B370,Inventory!$A:$B,2,FALSE)*D370,0)</f>
        <v/>
      </c>
      <c r="I370" s="3">
        <f>IF(C370="",0,IFERROR(VLOOKUP(C370,Settings!$A$2:$F$5,2,FALSE)+(E370*D370+F370)*VLOOKUP(C370,Settings!$A$2:$F$5,3,FALSE)/100+(E370*D370+F370)*VLOOKUP(C370,Settings!$A$2:$F$5,4,FALSE)/100+VLOOKUP(C370,Settings!$A$2:$F$5,5,FALSE)+VLOOKUP(C370,Settings!$A$2:$F$5,6,FALSE),0))</f>
        <v/>
      </c>
      <c r="J370" s="3">
        <f>IF(B370="","",IF(ISNA(MATCH(B370,Inventory!$A$2:$A$201,0)),"Check product",E370*D370+F370-I370-G370-H370))</f>
        <v/>
      </c>
      <c r="K370" s="4">
        <f>IF(OR(B370="",NOT(ISNUMBER(J370)),E370*D370+F370=0),"",J370/(E370*D370+F370))</f>
        <v/>
      </c>
    </row>
    <row r="371">
      <c r="A371" s="8" t="n"/>
      <c r="B371" s="6" t="n"/>
      <c r="C371" s="6" t="n"/>
      <c r="D371" s="6" t="n"/>
      <c r="E371" s="7" t="n"/>
      <c r="F371" s="7" t="n"/>
      <c r="G371" s="7" t="n"/>
      <c r="H371" s="3">
        <f>IFERROR(VLOOKUP(B371,Inventory!$A:$B,2,FALSE)*D371,0)</f>
        <v/>
      </c>
      <c r="I371" s="3">
        <f>IF(C371="",0,IFERROR(VLOOKUP(C371,Settings!$A$2:$F$5,2,FALSE)+(E371*D371+F371)*VLOOKUP(C371,Settings!$A$2:$F$5,3,FALSE)/100+(E371*D371+F371)*VLOOKUP(C371,Settings!$A$2:$F$5,4,FALSE)/100+VLOOKUP(C371,Settings!$A$2:$F$5,5,FALSE)+VLOOKUP(C371,Settings!$A$2:$F$5,6,FALSE),0))</f>
        <v/>
      </c>
      <c r="J371" s="3">
        <f>IF(B371="","",IF(ISNA(MATCH(B371,Inventory!$A$2:$A$201,0)),"Check product",E371*D371+F371-I371-G371-H371))</f>
        <v/>
      </c>
      <c r="K371" s="4">
        <f>IF(OR(B371="",NOT(ISNUMBER(J371)),E371*D371+F371=0),"",J371/(E371*D371+F371))</f>
        <v/>
      </c>
    </row>
    <row r="372">
      <c r="A372" s="8" t="n"/>
      <c r="B372" s="6" t="n"/>
      <c r="C372" s="6" t="n"/>
      <c r="D372" s="6" t="n"/>
      <c r="E372" s="7" t="n"/>
      <c r="F372" s="7" t="n"/>
      <c r="G372" s="7" t="n"/>
      <c r="H372" s="3">
        <f>IFERROR(VLOOKUP(B372,Inventory!$A:$B,2,FALSE)*D372,0)</f>
        <v/>
      </c>
      <c r="I372" s="3">
        <f>IF(C372="",0,IFERROR(VLOOKUP(C372,Settings!$A$2:$F$5,2,FALSE)+(E372*D372+F372)*VLOOKUP(C372,Settings!$A$2:$F$5,3,FALSE)/100+(E372*D372+F372)*VLOOKUP(C372,Settings!$A$2:$F$5,4,FALSE)/100+VLOOKUP(C372,Settings!$A$2:$F$5,5,FALSE)+VLOOKUP(C372,Settings!$A$2:$F$5,6,FALSE),0))</f>
        <v/>
      </c>
      <c r="J372" s="3">
        <f>IF(B372="","",IF(ISNA(MATCH(B372,Inventory!$A$2:$A$201,0)),"Check product",E372*D372+F372-I372-G372-H372))</f>
        <v/>
      </c>
      <c r="K372" s="4">
        <f>IF(OR(B372="",NOT(ISNUMBER(J372)),E372*D372+F372=0),"",J372/(E372*D372+F372))</f>
        <v/>
      </c>
    </row>
    <row r="373">
      <c r="A373" s="8" t="n"/>
      <c r="B373" s="6" t="n"/>
      <c r="C373" s="6" t="n"/>
      <c r="D373" s="6" t="n"/>
      <c r="E373" s="7" t="n"/>
      <c r="F373" s="7" t="n"/>
      <c r="G373" s="7" t="n"/>
      <c r="H373" s="3">
        <f>IFERROR(VLOOKUP(B373,Inventory!$A:$B,2,FALSE)*D373,0)</f>
        <v/>
      </c>
      <c r="I373" s="3">
        <f>IF(C373="",0,IFERROR(VLOOKUP(C373,Settings!$A$2:$F$5,2,FALSE)+(E373*D373+F373)*VLOOKUP(C373,Settings!$A$2:$F$5,3,FALSE)/100+(E373*D373+F373)*VLOOKUP(C373,Settings!$A$2:$F$5,4,FALSE)/100+VLOOKUP(C373,Settings!$A$2:$F$5,5,FALSE)+VLOOKUP(C373,Settings!$A$2:$F$5,6,FALSE),0))</f>
        <v/>
      </c>
      <c r="J373" s="3">
        <f>IF(B373="","",IF(ISNA(MATCH(B373,Inventory!$A$2:$A$201,0)),"Check product",E373*D373+F373-I373-G373-H373))</f>
        <v/>
      </c>
      <c r="K373" s="4">
        <f>IF(OR(B373="",NOT(ISNUMBER(J373)),E373*D373+F373=0),"",J373/(E373*D373+F373))</f>
        <v/>
      </c>
    </row>
    <row r="374">
      <c r="A374" s="8" t="n"/>
      <c r="B374" s="6" t="n"/>
      <c r="C374" s="6" t="n"/>
      <c r="D374" s="6" t="n"/>
      <c r="E374" s="7" t="n"/>
      <c r="F374" s="7" t="n"/>
      <c r="G374" s="7" t="n"/>
      <c r="H374" s="3">
        <f>IFERROR(VLOOKUP(B374,Inventory!$A:$B,2,FALSE)*D374,0)</f>
        <v/>
      </c>
      <c r="I374" s="3">
        <f>IF(C374="",0,IFERROR(VLOOKUP(C374,Settings!$A$2:$F$5,2,FALSE)+(E374*D374+F374)*VLOOKUP(C374,Settings!$A$2:$F$5,3,FALSE)/100+(E374*D374+F374)*VLOOKUP(C374,Settings!$A$2:$F$5,4,FALSE)/100+VLOOKUP(C374,Settings!$A$2:$F$5,5,FALSE)+VLOOKUP(C374,Settings!$A$2:$F$5,6,FALSE),0))</f>
        <v/>
      </c>
      <c r="J374" s="3">
        <f>IF(B374="","",IF(ISNA(MATCH(B374,Inventory!$A$2:$A$201,0)),"Check product",E374*D374+F374-I374-G374-H374))</f>
        <v/>
      </c>
      <c r="K374" s="4">
        <f>IF(OR(B374="",NOT(ISNUMBER(J374)),E374*D374+F374=0),"",J374/(E374*D374+F374))</f>
        <v/>
      </c>
    </row>
    <row r="375">
      <c r="A375" s="8" t="n"/>
      <c r="B375" s="6" t="n"/>
      <c r="C375" s="6" t="n"/>
      <c r="D375" s="6" t="n"/>
      <c r="E375" s="7" t="n"/>
      <c r="F375" s="7" t="n"/>
      <c r="G375" s="7" t="n"/>
      <c r="H375" s="3">
        <f>IFERROR(VLOOKUP(B375,Inventory!$A:$B,2,FALSE)*D375,0)</f>
        <v/>
      </c>
      <c r="I375" s="3">
        <f>IF(C375="",0,IFERROR(VLOOKUP(C375,Settings!$A$2:$F$5,2,FALSE)+(E375*D375+F375)*VLOOKUP(C375,Settings!$A$2:$F$5,3,FALSE)/100+(E375*D375+F375)*VLOOKUP(C375,Settings!$A$2:$F$5,4,FALSE)/100+VLOOKUP(C375,Settings!$A$2:$F$5,5,FALSE)+VLOOKUP(C375,Settings!$A$2:$F$5,6,FALSE),0))</f>
        <v/>
      </c>
      <c r="J375" s="3">
        <f>IF(B375="","",IF(ISNA(MATCH(B375,Inventory!$A$2:$A$201,0)),"Check product",E375*D375+F375-I375-G375-H375))</f>
        <v/>
      </c>
      <c r="K375" s="4">
        <f>IF(OR(B375="",NOT(ISNUMBER(J375)),E375*D375+F375=0),"",J375/(E375*D375+F375))</f>
        <v/>
      </c>
    </row>
    <row r="376">
      <c r="A376" s="8" t="n"/>
      <c r="B376" s="6" t="n"/>
      <c r="C376" s="6" t="n"/>
      <c r="D376" s="6" t="n"/>
      <c r="E376" s="7" t="n"/>
      <c r="F376" s="7" t="n"/>
      <c r="G376" s="7" t="n"/>
      <c r="H376" s="3">
        <f>IFERROR(VLOOKUP(B376,Inventory!$A:$B,2,FALSE)*D376,0)</f>
        <v/>
      </c>
      <c r="I376" s="3">
        <f>IF(C376="",0,IFERROR(VLOOKUP(C376,Settings!$A$2:$F$5,2,FALSE)+(E376*D376+F376)*VLOOKUP(C376,Settings!$A$2:$F$5,3,FALSE)/100+(E376*D376+F376)*VLOOKUP(C376,Settings!$A$2:$F$5,4,FALSE)/100+VLOOKUP(C376,Settings!$A$2:$F$5,5,FALSE)+VLOOKUP(C376,Settings!$A$2:$F$5,6,FALSE),0))</f>
        <v/>
      </c>
      <c r="J376" s="3">
        <f>IF(B376="","",IF(ISNA(MATCH(B376,Inventory!$A$2:$A$201,0)),"Check product",E376*D376+F376-I376-G376-H376))</f>
        <v/>
      </c>
      <c r="K376" s="4">
        <f>IF(OR(B376="",NOT(ISNUMBER(J376)),E376*D376+F376=0),"",J376/(E376*D376+F376))</f>
        <v/>
      </c>
    </row>
    <row r="377">
      <c r="A377" s="8" t="n"/>
      <c r="B377" s="6" t="n"/>
      <c r="C377" s="6" t="n"/>
      <c r="D377" s="6" t="n"/>
      <c r="E377" s="7" t="n"/>
      <c r="F377" s="7" t="n"/>
      <c r="G377" s="7" t="n"/>
      <c r="H377" s="3">
        <f>IFERROR(VLOOKUP(B377,Inventory!$A:$B,2,FALSE)*D377,0)</f>
        <v/>
      </c>
      <c r="I377" s="3">
        <f>IF(C377="",0,IFERROR(VLOOKUP(C377,Settings!$A$2:$F$5,2,FALSE)+(E377*D377+F377)*VLOOKUP(C377,Settings!$A$2:$F$5,3,FALSE)/100+(E377*D377+F377)*VLOOKUP(C377,Settings!$A$2:$F$5,4,FALSE)/100+VLOOKUP(C377,Settings!$A$2:$F$5,5,FALSE)+VLOOKUP(C377,Settings!$A$2:$F$5,6,FALSE),0))</f>
        <v/>
      </c>
      <c r="J377" s="3">
        <f>IF(B377="","",IF(ISNA(MATCH(B377,Inventory!$A$2:$A$201,0)),"Check product",E377*D377+F377-I377-G377-H377))</f>
        <v/>
      </c>
      <c r="K377" s="4">
        <f>IF(OR(B377="",NOT(ISNUMBER(J377)),E377*D377+F377=0),"",J377/(E377*D377+F377))</f>
        <v/>
      </c>
    </row>
    <row r="378">
      <c r="A378" s="8" t="n"/>
      <c r="B378" s="6" t="n"/>
      <c r="C378" s="6" t="n"/>
      <c r="D378" s="6" t="n"/>
      <c r="E378" s="7" t="n"/>
      <c r="F378" s="7" t="n"/>
      <c r="G378" s="7" t="n"/>
      <c r="H378" s="3">
        <f>IFERROR(VLOOKUP(B378,Inventory!$A:$B,2,FALSE)*D378,0)</f>
        <v/>
      </c>
      <c r="I378" s="3">
        <f>IF(C378="",0,IFERROR(VLOOKUP(C378,Settings!$A$2:$F$5,2,FALSE)+(E378*D378+F378)*VLOOKUP(C378,Settings!$A$2:$F$5,3,FALSE)/100+(E378*D378+F378)*VLOOKUP(C378,Settings!$A$2:$F$5,4,FALSE)/100+VLOOKUP(C378,Settings!$A$2:$F$5,5,FALSE)+VLOOKUP(C378,Settings!$A$2:$F$5,6,FALSE),0))</f>
        <v/>
      </c>
      <c r="J378" s="3">
        <f>IF(B378="","",IF(ISNA(MATCH(B378,Inventory!$A$2:$A$201,0)),"Check product",E378*D378+F378-I378-G378-H378))</f>
        <v/>
      </c>
      <c r="K378" s="4">
        <f>IF(OR(B378="",NOT(ISNUMBER(J378)),E378*D378+F378=0),"",J378/(E378*D378+F378))</f>
        <v/>
      </c>
    </row>
    <row r="379">
      <c r="A379" s="8" t="n"/>
      <c r="B379" s="6" t="n"/>
      <c r="C379" s="6" t="n"/>
      <c r="D379" s="6" t="n"/>
      <c r="E379" s="7" t="n"/>
      <c r="F379" s="7" t="n"/>
      <c r="G379" s="7" t="n"/>
      <c r="H379" s="3">
        <f>IFERROR(VLOOKUP(B379,Inventory!$A:$B,2,FALSE)*D379,0)</f>
        <v/>
      </c>
      <c r="I379" s="3">
        <f>IF(C379="",0,IFERROR(VLOOKUP(C379,Settings!$A$2:$F$5,2,FALSE)+(E379*D379+F379)*VLOOKUP(C379,Settings!$A$2:$F$5,3,FALSE)/100+(E379*D379+F379)*VLOOKUP(C379,Settings!$A$2:$F$5,4,FALSE)/100+VLOOKUP(C379,Settings!$A$2:$F$5,5,FALSE)+VLOOKUP(C379,Settings!$A$2:$F$5,6,FALSE),0))</f>
        <v/>
      </c>
      <c r="J379" s="3">
        <f>IF(B379="","",IF(ISNA(MATCH(B379,Inventory!$A$2:$A$201,0)),"Check product",E379*D379+F379-I379-G379-H379))</f>
        <v/>
      </c>
      <c r="K379" s="4">
        <f>IF(OR(B379="",NOT(ISNUMBER(J379)),E379*D379+F379=0),"",J379/(E379*D379+F379))</f>
        <v/>
      </c>
    </row>
    <row r="380">
      <c r="A380" s="8" t="n"/>
      <c r="B380" s="6" t="n"/>
      <c r="C380" s="6" t="n"/>
      <c r="D380" s="6" t="n"/>
      <c r="E380" s="7" t="n"/>
      <c r="F380" s="7" t="n"/>
      <c r="G380" s="7" t="n"/>
      <c r="H380" s="3">
        <f>IFERROR(VLOOKUP(B380,Inventory!$A:$B,2,FALSE)*D380,0)</f>
        <v/>
      </c>
      <c r="I380" s="3">
        <f>IF(C380="",0,IFERROR(VLOOKUP(C380,Settings!$A$2:$F$5,2,FALSE)+(E380*D380+F380)*VLOOKUP(C380,Settings!$A$2:$F$5,3,FALSE)/100+(E380*D380+F380)*VLOOKUP(C380,Settings!$A$2:$F$5,4,FALSE)/100+VLOOKUP(C380,Settings!$A$2:$F$5,5,FALSE)+VLOOKUP(C380,Settings!$A$2:$F$5,6,FALSE),0))</f>
        <v/>
      </c>
      <c r="J380" s="3">
        <f>IF(B380="","",IF(ISNA(MATCH(B380,Inventory!$A$2:$A$201,0)),"Check product",E380*D380+F380-I380-G380-H380))</f>
        <v/>
      </c>
      <c r="K380" s="4">
        <f>IF(OR(B380="",NOT(ISNUMBER(J380)),E380*D380+F380=0),"",J380/(E380*D380+F380))</f>
        <v/>
      </c>
    </row>
    <row r="381">
      <c r="A381" s="8" t="n"/>
      <c r="B381" s="6" t="n"/>
      <c r="C381" s="6" t="n"/>
      <c r="D381" s="6" t="n"/>
      <c r="E381" s="7" t="n"/>
      <c r="F381" s="7" t="n"/>
      <c r="G381" s="7" t="n"/>
      <c r="H381" s="3">
        <f>IFERROR(VLOOKUP(B381,Inventory!$A:$B,2,FALSE)*D381,0)</f>
        <v/>
      </c>
      <c r="I381" s="3">
        <f>IF(C381="",0,IFERROR(VLOOKUP(C381,Settings!$A$2:$F$5,2,FALSE)+(E381*D381+F381)*VLOOKUP(C381,Settings!$A$2:$F$5,3,FALSE)/100+(E381*D381+F381)*VLOOKUP(C381,Settings!$A$2:$F$5,4,FALSE)/100+VLOOKUP(C381,Settings!$A$2:$F$5,5,FALSE)+VLOOKUP(C381,Settings!$A$2:$F$5,6,FALSE),0))</f>
        <v/>
      </c>
      <c r="J381" s="3">
        <f>IF(B381="","",IF(ISNA(MATCH(B381,Inventory!$A$2:$A$201,0)),"Check product",E381*D381+F381-I381-G381-H381))</f>
        <v/>
      </c>
      <c r="K381" s="4">
        <f>IF(OR(B381="",NOT(ISNUMBER(J381)),E381*D381+F381=0),"",J381/(E381*D381+F381))</f>
        <v/>
      </c>
    </row>
    <row r="382">
      <c r="A382" s="8" t="n"/>
      <c r="B382" s="6" t="n"/>
      <c r="C382" s="6" t="n"/>
      <c r="D382" s="6" t="n"/>
      <c r="E382" s="7" t="n"/>
      <c r="F382" s="7" t="n"/>
      <c r="G382" s="7" t="n"/>
      <c r="H382" s="3">
        <f>IFERROR(VLOOKUP(B382,Inventory!$A:$B,2,FALSE)*D382,0)</f>
        <v/>
      </c>
      <c r="I382" s="3">
        <f>IF(C382="",0,IFERROR(VLOOKUP(C382,Settings!$A$2:$F$5,2,FALSE)+(E382*D382+F382)*VLOOKUP(C382,Settings!$A$2:$F$5,3,FALSE)/100+(E382*D382+F382)*VLOOKUP(C382,Settings!$A$2:$F$5,4,FALSE)/100+VLOOKUP(C382,Settings!$A$2:$F$5,5,FALSE)+VLOOKUP(C382,Settings!$A$2:$F$5,6,FALSE),0))</f>
        <v/>
      </c>
      <c r="J382" s="3">
        <f>IF(B382="","",IF(ISNA(MATCH(B382,Inventory!$A$2:$A$201,0)),"Check product",E382*D382+F382-I382-G382-H382))</f>
        <v/>
      </c>
      <c r="K382" s="4">
        <f>IF(OR(B382="",NOT(ISNUMBER(J382)),E382*D382+F382=0),"",J382/(E382*D382+F382))</f>
        <v/>
      </c>
    </row>
    <row r="383">
      <c r="A383" s="8" t="n"/>
      <c r="B383" s="6" t="n"/>
      <c r="C383" s="6" t="n"/>
      <c r="D383" s="6" t="n"/>
      <c r="E383" s="7" t="n"/>
      <c r="F383" s="7" t="n"/>
      <c r="G383" s="7" t="n"/>
      <c r="H383" s="3">
        <f>IFERROR(VLOOKUP(B383,Inventory!$A:$B,2,FALSE)*D383,0)</f>
        <v/>
      </c>
      <c r="I383" s="3">
        <f>IF(C383="",0,IFERROR(VLOOKUP(C383,Settings!$A$2:$F$5,2,FALSE)+(E383*D383+F383)*VLOOKUP(C383,Settings!$A$2:$F$5,3,FALSE)/100+(E383*D383+F383)*VLOOKUP(C383,Settings!$A$2:$F$5,4,FALSE)/100+VLOOKUP(C383,Settings!$A$2:$F$5,5,FALSE)+VLOOKUP(C383,Settings!$A$2:$F$5,6,FALSE),0))</f>
        <v/>
      </c>
      <c r="J383" s="3">
        <f>IF(B383="","",IF(ISNA(MATCH(B383,Inventory!$A$2:$A$201,0)),"Check product",E383*D383+F383-I383-G383-H383))</f>
        <v/>
      </c>
      <c r="K383" s="4">
        <f>IF(OR(B383="",NOT(ISNUMBER(J383)),E383*D383+F383=0),"",J383/(E383*D383+F383))</f>
        <v/>
      </c>
    </row>
    <row r="384">
      <c r="A384" s="8" t="n"/>
      <c r="B384" s="6" t="n"/>
      <c r="C384" s="6" t="n"/>
      <c r="D384" s="6" t="n"/>
      <c r="E384" s="7" t="n"/>
      <c r="F384" s="7" t="n"/>
      <c r="G384" s="7" t="n"/>
      <c r="H384" s="3">
        <f>IFERROR(VLOOKUP(B384,Inventory!$A:$B,2,FALSE)*D384,0)</f>
        <v/>
      </c>
      <c r="I384" s="3">
        <f>IF(C384="",0,IFERROR(VLOOKUP(C384,Settings!$A$2:$F$5,2,FALSE)+(E384*D384+F384)*VLOOKUP(C384,Settings!$A$2:$F$5,3,FALSE)/100+(E384*D384+F384)*VLOOKUP(C384,Settings!$A$2:$F$5,4,FALSE)/100+VLOOKUP(C384,Settings!$A$2:$F$5,5,FALSE)+VLOOKUP(C384,Settings!$A$2:$F$5,6,FALSE),0))</f>
        <v/>
      </c>
      <c r="J384" s="3">
        <f>IF(B384="","",IF(ISNA(MATCH(B384,Inventory!$A$2:$A$201,0)),"Check product",E384*D384+F384-I384-G384-H384))</f>
        <v/>
      </c>
      <c r="K384" s="4">
        <f>IF(OR(B384="",NOT(ISNUMBER(J384)),E384*D384+F384=0),"",J384/(E384*D384+F384))</f>
        <v/>
      </c>
    </row>
    <row r="385">
      <c r="A385" s="8" t="n"/>
      <c r="B385" s="6" t="n"/>
      <c r="C385" s="6" t="n"/>
      <c r="D385" s="6" t="n"/>
      <c r="E385" s="7" t="n"/>
      <c r="F385" s="7" t="n"/>
      <c r="G385" s="7" t="n"/>
      <c r="H385" s="3">
        <f>IFERROR(VLOOKUP(B385,Inventory!$A:$B,2,FALSE)*D385,0)</f>
        <v/>
      </c>
      <c r="I385" s="3">
        <f>IF(C385="",0,IFERROR(VLOOKUP(C385,Settings!$A$2:$F$5,2,FALSE)+(E385*D385+F385)*VLOOKUP(C385,Settings!$A$2:$F$5,3,FALSE)/100+(E385*D385+F385)*VLOOKUP(C385,Settings!$A$2:$F$5,4,FALSE)/100+VLOOKUP(C385,Settings!$A$2:$F$5,5,FALSE)+VLOOKUP(C385,Settings!$A$2:$F$5,6,FALSE),0))</f>
        <v/>
      </c>
      <c r="J385" s="3">
        <f>IF(B385="","",IF(ISNA(MATCH(B385,Inventory!$A$2:$A$201,0)),"Check product",E385*D385+F385-I385-G385-H385))</f>
        <v/>
      </c>
      <c r="K385" s="4">
        <f>IF(OR(B385="",NOT(ISNUMBER(J385)),E385*D385+F385=0),"",J385/(E385*D385+F385))</f>
        <v/>
      </c>
    </row>
    <row r="386">
      <c r="A386" s="8" t="n"/>
      <c r="B386" s="6" t="n"/>
      <c r="C386" s="6" t="n"/>
      <c r="D386" s="6" t="n"/>
      <c r="E386" s="7" t="n"/>
      <c r="F386" s="7" t="n"/>
      <c r="G386" s="7" t="n"/>
      <c r="H386" s="3">
        <f>IFERROR(VLOOKUP(B386,Inventory!$A:$B,2,FALSE)*D386,0)</f>
        <v/>
      </c>
      <c r="I386" s="3">
        <f>IF(C386="",0,IFERROR(VLOOKUP(C386,Settings!$A$2:$F$5,2,FALSE)+(E386*D386+F386)*VLOOKUP(C386,Settings!$A$2:$F$5,3,FALSE)/100+(E386*D386+F386)*VLOOKUP(C386,Settings!$A$2:$F$5,4,FALSE)/100+VLOOKUP(C386,Settings!$A$2:$F$5,5,FALSE)+VLOOKUP(C386,Settings!$A$2:$F$5,6,FALSE),0))</f>
        <v/>
      </c>
      <c r="J386" s="3">
        <f>IF(B386="","",IF(ISNA(MATCH(B386,Inventory!$A$2:$A$201,0)),"Check product",E386*D386+F386-I386-G386-H386))</f>
        <v/>
      </c>
      <c r="K386" s="4">
        <f>IF(OR(B386="",NOT(ISNUMBER(J386)),E386*D386+F386=0),"",J386/(E386*D386+F386))</f>
        <v/>
      </c>
    </row>
    <row r="387">
      <c r="A387" s="8" t="n"/>
      <c r="B387" s="6" t="n"/>
      <c r="C387" s="6" t="n"/>
      <c r="D387" s="6" t="n"/>
      <c r="E387" s="7" t="n"/>
      <c r="F387" s="7" t="n"/>
      <c r="G387" s="7" t="n"/>
      <c r="H387" s="3">
        <f>IFERROR(VLOOKUP(B387,Inventory!$A:$B,2,FALSE)*D387,0)</f>
        <v/>
      </c>
      <c r="I387" s="3">
        <f>IF(C387="",0,IFERROR(VLOOKUP(C387,Settings!$A$2:$F$5,2,FALSE)+(E387*D387+F387)*VLOOKUP(C387,Settings!$A$2:$F$5,3,FALSE)/100+(E387*D387+F387)*VLOOKUP(C387,Settings!$A$2:$F$5,4,FALSE)/100+VLOOKUP(C387,Settings!$A$2:$F$5,5,FALSE)+VLOOKUP(C387,Settings!$A$2:$F$5,6,FALSE),0))</f>
        <v/>
      </c>
      <c r="J387" s="3">
        <f>IF(B387="","",IF(ISNA(MATCH(B387,Inventory!$A$2:$A$201,0)),"Check product",E387*D387+F387-I387-G387-H387))</f>
        <v/>
      </c>
      <c r="K387" s="4">
        <f>IF(OR(B387="",NOT(ISNUMBER(J387)),E387*D387+F387=0),"",J387/(E387*D387+F387))</f>
        <v/>
      </c>
    </row>
    <row r="388">
      <c r="A388" s="8" t="n"/>
      <c r="B388" s="6" t="n"/>
      <c r="C388" s="6" t="n"/>
      <c r="D388" s="6" t="n"/>
      <c r="E388" s="7" t="n"/>
      <c r="F388" s="7" t="n"/>
      <c r="G388" s="7" t="n"/>
      <c r="H388" s="3">
        <f>IFERROR(VLOOKUP(B388,Inventory!$A:$B,2,FALSE)*D388,0)</f>
        <v/>
      </c>
      <c r="I388" s="3">
        <f>IF(C388="",0,IFERROR(VLOOKUP(C388,Settings!$A$2:$F$5,2,FALSE)+(E388*D388+F388)*VLOOKUP(C388,Settings!$A$2:$F$5,3,FALSE)/100+(E388*D388+F388)*VLOOKUP(C388,Settings!$A$2:$F$5,4,FALSE)/100+VLOOKUP(C388,Settings!$A$2:$F$5,5,FALSE)+VLOOKUP(C388,Settings!$A$2:$F$5,6,FALSE),0))</f>
        <v/>
      </c>
      <c r="J388" s="3">
        <f>IF(B388="","",IF(ISNA(MATCH(B388,Inventory!$A$2:$A$201,0)),"Check product",E388*D388+F388-I388-G388-H388))</f>
        <v/>
      </c>
      <c r="K388" s="4">
        <f>IF(OR(B388="",NOT(ISNUMBER(J388)),E388*D388+F388=0),"",J388/(E388*D388+F388))</f>
        <v/>
      </c>
    </row>
    <row r="389">
      <c r="A389" s="8" t="n"/>
      <c r="B389" s="6" t="n"/>
      <c r="C389" s="6" t="n"/>
      <c r="D389" s="6" t="n"/>
      <c r="E389" s="7" t="n"/>
      <c r="F389" s="7" t="n"/>
      <c r="G389" s="7" t="n"/>
      <c r="H389" s="3">
        <f>IFERROR(VLOOKUP(B389,Inventory!$A:$B,2,FALSE)*D389,0)</f>
        <v/>
      </c>
      <c r="I389" s="3">
        <f>IF(C389="",0,IFERROR(VLOOKUP(C389,Settings!$A$2:$F$5,2,FALSE)+(E389*D389+F389)*VLOOKUP(C389,Settings!$A$2:$F$5,3,FALSE)/100+(E389*D389+F389)*VLOOKUP(C389,Settings!$A$2:$F$5,4,FALSE)/100+VLOOKUP(C389,Settings!$A$2:$F$5,5,FALSE)+VLOOKUP(C389,Settings!$A$2:$F$5,6,FALSE),0))</f>
        <v/>
      </c>
      <c r="J389" s="3">
        <f>IF(B389="","",IF(ISNA(MATCH(B389,Inventory!$A$2:$A$201,0)),"Check product",E389*D389+F389-I389-G389-H389))</f>
        <v/>
      </c>
      <c r="K389" s="4">
        <f>IF(OR(B389="",NOT(ISNUMBER(J389)),E389*D389+F389=0),"",J389/(E389*D389+F389))</f>
        <v/>
      </c>
    </row>
    <row r="390">
      <c r="A390" s="8" t="n"/>
      <c r="B390" s="6" t="n"/>
      <c r="C390" s="6" t="n"/>
      <c r="D390" s="6" t="n"/>
      <c r="E390" s="7" t="n"/>
      <c r="F390" s="7" t="n"/>
      <c r="G390" s="7" t="n"/>
      <c r="H390" s="3">
        <f>IFERROR(VLOOKUP(B390,Inventory!$A:$B,2,FALSE)*D390,0)</f>
        <v/>
      </c>
      <c r="I390" s="3">
        <f>IF(C390="",0,IFERROR(VLOOKUP(C390,Settings!$A$2:$F$5,2,FALSE)+(E390*D390+F390)*VLOOKUP(C390,Settings!$A$2:$F$5,3,FALSE)/100+(E390*D390+F390)*VLOOKUP(C390,Settings!$A$2:$F$5,4,FALSE)/100+VLOOKUP(C390,Settings!$A$2:$F$5,5,FALSE)+VLOOKUP(C390,Settings!$A$2:$F$5,6,FALSE),0))</f>
        <v/>
      </c>
      <c r="J390" s="3">
        <f>IF(B390="","",IF(ISNA(MATCH(B390,Inventory!$A$2:$A$201,0)),"Check product",E390*D390+F390-I390-G390-H390))</f>
        <v/>
      </c>
      <c r="K390" s="4">
        <f>IF(OR(B390="",NOT(ISNUMBER(J390)),E390*D390+F390=0),"",J390/(E390*D390+F390))</f>
        <v/>
      </c>
    </row>
    <row r="391">
      <c r="A391" s="8" t="n"/>
      <c r="B391" s="6" t="n"/>
      <c r="C391" s="6" t="n"/>
      <c r="D391" s="6" t="n"/>
      <c r="E391" s="7" t="n"/>
      <c r="F391" s="7" t="n"/>
      <c r="G391" s="7" t="n"/>
      <c r="H391" s="3">
        <f>IFERROR(VLOOKUP(B391,Inventory!$A:$B,2,FALSE)*D391,0)</f>
        <v/>
      </c>
      <c r="I391" s="3">
        <f>IF(C391="",0,IFERROR(VLOOKUP(C391,Settings!$A$2:$F$5,2,FALSE)+(E391*D391+F391)*VLOOKUP(C391,Settings!$A$2:$F$5,3,FALSE)/100+(E391*D391+F391)*VLOOKUP(C391,Settings!$A$2:$F$5,4,FALSE)/100+VLOOKUP(C391,Settings!$A$2:$F$5,5,FALSE)+VLOOKUP(C391,Settings!$A$2:$F$5,6,FALSE),0))</f>
        <v/>
      </c>
      <c r="J391" s="3">
        <f>IF(B391="","",IF(ISNA(MATCH(B391,Inventory!$A$2:$A$201,0)),"Check product",E391*D391+F391-I391-G391-H391))</f>
        <v/>
      </c>
      <c r="K391" s="4">
        <f>IF(OR(B391="",NOT(ISNUMBER(J391)),E391*D391+F391=0),"",J391/(E391*D391+F391))</f>
        <v/>
      </c>
    </row>
    <row r="392">
      <c r="A392" s="8" t="n"/>
      <c r="B392" s="6" t="n"/>
      <c r="C392" s="6" t="n"/>
      <c r="D392" s="6" t="n"/>
      <c r="E392" s="7" t="n"/>
      <c r="F392" s="7" t="n"/>
      <c r="G392" s="7" t="n"/>
      <c r="H392" s="3">
        <f>IFERROR(VLOOKUP(B392,Inventory!$A:$B,2,FALSE)*D392,0)</f>
        <v/>
      </c>
      <c r="I392" s="3">
        <f>IF(C392="",0,IFERROR(VLOOKUP(C392,Settings!$A$2:$F$5,2,FALSE)+(E392*D392+F392)*VLOOKUP(C392,Settings!$A$2:$F$5,3,FALSE)/100+(E392*D392+F392)*VLOOKUP(C392,Settings!$A$2:$F$5,4,FALSE)/100+VLOOKUP(C392,Settings!$A$2:$F$5,5,FALSE)+VLOOKUP(C392,Settings!$A$2:$F$5,6,FALSE),0))</f>
        <v/>
      </c>
      <c r="J392" s="3">
        <f>IF(B392="","",IF(ISNA(MATCH(B392,Inventory!$A$2:$A$201,0)),"Check product",E392*D392+F392-I392-G392-H392))</f>
        <v/>
      </c>
      <c r="K392" s="4">
        <f>IF(OR(B392="",NOT(ISNUMBER(J392)),E392*D392+F392=0),"",J392/(E392*D392+F392))</f>
        <v/>
      </c>
    </row>
    <row r="393">
      <c r="A393" s="8" t="n"/>
      <c r="B393" s="6" t="n"/>
      <c r="C393" s="6" t="n"/>
      <c r="D393" s="6" t="n"/>
      <c r="E393" s="7" t="n"/>
      <c r="F393" s="7" t="n"/>
      <c r="G393" s="7" t="n"/>
      <c r="H393" s="3">
        <f>IFERROR(VLOOKUP(B393,Inventory!$A:$B,2,FALSE)*D393,0)</f>
        <v/>
      </c>
      <c r="I393" s="3">
        <f>IF(C393="",0,IFERROR(VLOOKUP(C393,Settings!$A$2:$F$5,2,FALSE)+(E393*D393+F393)*VLOOKUP(C393,Settings!$A$2:$F$5,3,FALSE)/100+(E393*D393+F393)*VLOOKUP(C393,Settings!$A$2:$F$5,4,FALSE)/100+VLOOKUP(C393,Settings!$A$2:$F$5,5,FALSE)+VLOOKUP(C393,Settings!$A$2:$F$5,6,FALSE),0))</f>
        <v/>
      </c>
      <c r="J393" s="3">
        <f>IF(B393="","",IF(ISNA(MATCH(B393,Inventory!$A$2:$A$201,0)),"Check product",E393*D393+F393-I393-G393-H393))</f>
        <v/>
      </c>
      <c r="K393" s="4">
        <f>IF(OR(B393="",NOT(ISNUMBER(J393)),E393*D393+F393=0),"",J393/(E393*D393+F393))</f>
        <v/>
      </c>
    </row>
    <row r="394">
      <c r="A394" s="8" t="n"/>
      <c r="B394" s="6" t="n"/>
      <c r="C394" s="6" t="n"/>
      <c r="D394" s="6" t="n"/>
      <c r="E394" s="7" t="n"/>
      <c r="F394" s="7" t="n"/>
      <c r="G394" s="7" t="n"/>
      <c r="H394" s="3">
        <f>IFERROR(VLOOKUP(B394,Inventory!$A:$B,2,FALSE)*D394,0)</f>
        <v/>
      </c>
      <c r="I394" s="3">
        <f>IF(C394="",0,IFERROR(VLOOKUP(C394,Settings!$A$2:$F$5,2,FALSE)+(E394*D394+F394)*VLOOKUP(C394,Settings!$A$2:$F$5,3,FALSE)/100+(E394*D394+F394)*VLOOKUP(C394,Settings!$A$2:$F$5,4,FALSE)/100+VLOOKUP(C394,Settings!$A$2:$F$5,5,FALSE)+VLOOKUP(C394,Settings!$A$2:$F$5,6,FALSE),0))</f>
        <v/>
      </c>
      <c r="J394" s="3">
        <f>IF(B394="","",IF(ISNA(MATCH(B394,Inventory!$A$2:$A$201,0)),"Check product",E394*D394+F394-I394-G394-H394))</f>
        <v/>
      </c>
      <c r="K394" s="4">
        <f>IF(OR(B394="",NOT(ISNUMBER(J394)),E394*D394+F394=0),"",J394/(E394*D394+F394))</f>
        <v/>
      </c>
    </row>
    <row r="395">
      <c r="A395" s="8" t="n"/>
      <c r="B395" s="6" t="n"/>
      <c r="C395" s="6" t="n"/>
      <c r="D395" s="6" t="n"/>
      <c r="E395" s="7" t="n"/>
      <c r="F395" s="7" t="n"/>
      <c r="G395" s="7" t="n"/>
      <c r="H395" s="3">
        <f>IFERROR(VLOOKUP(B395,Inventory!$A:$B,2,FALSE)*D395,0)</f>
        <v/>
      </c>
      <c r="I395" s="3">
        <f>IF(C395="",0,IFERROR(VLOOKUP(C395,Settings!$A$2:$F$5,2,FALSE)+(E395*D395+F395)*VLOOKUP(C395,Settings!$A$2:$F$5,3,FALSE)/100+(E395*D395+F395)*VLOOKUP(C395,Settings!$A$2:$F$5,4,FALSE)/100+VLOOKUP(C395,Settings!$A$2:$F$5,5,FALSE)+VLOOKUP(C395,Settings!$A$2:$F$5,6,FALSE),0))</f>
        <v/>
      </c>
      <c r="J395" s="3">
        <f>IF(B395="","",IF(ISNA(MATCH(B395,Inventory!$A$2:$A$201,0)),"Check product",E395*D395+F395-I395-G395-H395))</f>
        <v/>
      </c>
      <c r="K395" s="4">
        <f>IF(OR(B395="",NOT(ISNUMBER(J395)),E395*D395+F395=0),"",J395/(E395*D395+F395))</f>
        <v/>
      </c>
    </row>
    <row r="396">
      <c r="A396" s="8" t="n"/>
      <c r="B396" s="6" t="n"/>
      <c r="C396" s="6" t="n"/>
      <c r="D396" s="6" t="n"/>
      <c r="E396" s="7" t="n"/>
      <c r="F396" s="7" t="n"/>
      <c r="G396" s="7" t="n"/>
      <c r="H396" s="3">
        <f>IFERROR(VLOOKUP(B396,Inventory!$A:$B,2,FALSE)*D396,0)</f>
        <v/>
      </c>
      <c r="I396" s="3">
        <f>IF(C396="",0,IFERROR(VLOOKUP(C396,Settings!$A$2:$F$5,2,FALSE)+(E396*D396+F396)*VLOOKUP(C396,Settings!$A$2:$F$5,3,FALSE)/100+(E396*D396+F396)*VLOOKUP(C396,Settings!$A$2:$F$5,4,FALSE)/100+VLOOKUP(C396,Settings!$A$2:$F$5,5,FALSE)+VLOOKUP(C396,Settings!$A$2:$F$5,6,FALSE),0))</f>
        <v/>
      </c>
      <c r="J396" s="3">
        <f>IF(B396="","",IF(ISNA(MATCH(B396,Inventory!$A$2:$A$201,0)),"Check product",E396*D396+F396-I396-G396-H396))</f>
        <v/>
      </c>
      <c r="K396" s="4">
        <f>IF(OR(B396="",NOT(ISNUMBER(J396)),E396*D396+F396=0),"",J396/(E396*D396+F396))</f>
        <v/>
      </c>
    </row>
    <row r="397">
      <c r="A397" s="8" t="n"/>
      <c r="B397" s="6" t="n"/>
      <c r="C397" s="6" t="n"/>
      <c r="D397" s="6" t="n"/>
      <c r="E397" s="7" t="n"/>
      <c r="F397" s="7" t="n"/>
      <c r="G397" s="7" t="n"/>
      <c r="H397" s="3">
        <f>IFERROR(VLOOKUP(B397,Inventory!$A:$B,2,FALSE)*D397,0)</f>
        <v/>
      </c>
      <c r="I397" s="3">
        <f>IF(C397="",0,IFERROR(VLOOKUP(C397,Settings!$A$2:$F$5,2,FALSE)+(E397*D397+F397)*VLOOKUP(C397,Settings!$A$2:$F$5,3,FALSE)/100+(E397*D397+F397)*VLOOKUP(C397,Settings!$A$2:$F$5,4,FALSE)/100+VLOOKUP(C397,Settings!$A$2:$F$5,5,FALSE)+VLOOKUP(C397,Settings!$A$2:$F$5,6,FALSE),0))</f>
        <v/>
      </c>
      <c r="J397" s="3">
        <f>IF(B397="","",IF(ISNA(MATCH(B397,Inventory!$A$2:$A$201,0)),"Check product",E397*D397+F397-I397-G397-H397))</f>
        <v/>
      </c>
      <c r="K397" s="4">
        <f>IF(OR(B397="",NOT(ISNUMBER(J397)),E397*D397+F397=0),"",J397/(E397*D397+F397))</f>
        <v/>
      </c>
    </row>
    <row r="398">
      <c r="A398" s="8" t="n"/>
      <c r="B398" s="6" t="n"/>
      <c r="C398" s="6" t="n"/>
      <c r="D398" s="6" t="n"/>
      <c r="E398" s="7" t="n"/>
      <c r="F398" s="7" t="n"/>
      <c r="G398" s="7" t="n"/>
      <c r="H398" s="3">
        <f>IFERROR(VLOOKUP(B398,Inventory!$A:$B,2,FALSE)*D398,0)</f>
        <v/>
      </c>
      <c r="I398" s="3">
        <f>IF(C398="",0,IFERROR(VLOOKUP(C398,Settings!$A$2:$F$5,2,FALSE)+(E398*D398+F398)*VLOOKUP(C398,Settings!$A$2:$F$5,3,FALSE)/100+(E398*D398+F398)*VLOOKUP(C398,Settings!$A$2:$F$5,4,FALSE)/100+VLOOKUP(C398,Settings!$A$2:$F$5,5,FALSE)+VLOOKUP(C398,Settings!$A$2:$F$5,6,FALSE),0))</f>
        <v/>
      </c>
      <c r="J398" s="3">
        <f>IF(B398="","",IF(ISNA(MATCH(B398,Inventory!$A$2:$A$201,0)),"Check product",E398*D398+F398-I398-G398-H398))</f>
        <v/>
      </c>
      <c r="K398" s="4">
        <f>IF(OR(B398="",NOT(ISNUMBER(J398)),E398*D398+F398=0),"",J398/(E398*D398+F398))</f>
        <v/>
      </c>
    </row>
    <row r="399">
      <c r="A399" s="8" t="n"/>
      <c r="B399" s="6" t="n"/>
      <c r="C399" s="6" t="n"/>
      <c r="D399" s="6" t="n"/>
      <c r="E399" s="7" t="n"/>
      <c r="F399" s="7" t="n"/>
      <c r="G399" s="7" t="n"/>
      <c r="H399" s="3">
        <f>IFERROR(VLOOKUP(B399,Inventory!$A:$B,2,FALSE)*D399,0)</f>
        <v/>
      </c>
      <c r="I399" s="3">
        <f>IF(C399="",0,IFERROR(VLOOKUP(C399,Settings!$A$2:$F$5,2,FALSE)+(E399*D399+F399)*VLOOKUP(C399,Settings!$A$2:$F$5,3,FALSE)/100+(E399*D399+F399)*VLOOKUP(C399,Settings!$A$2:$F$5,4,FALSE)/100+VLOOKUP(C399,Settings!$A$2:$F$5,5,FALSE)+VLOOKUP(C399,Settings!$A$2:$F$5,6,FALSE),0))</f>
        <v/>
      </c>
      <c r="J399" s="3">
        <f>IF(B399="","",IF(ISNA(MATCH(B399,Inventory!$A$2:$A$201,0)),"Check product",E399*D399+F399-I399-G399-H399))</f>
        <v/>
      </c>
      <c r="K399" s="4">
        <f>IF(OR(B399="",NOT(ISNUMBER(J399)),E399*D399+F399=0),"",J399/(E399*D399+F399))</f>
        <v/>
      </c>
    </row>
    <row r="400">
      <c r="A400" s="8" t="n"/>
      <c r="B400" s="6" t="n"/>
      <c r="C400" s="6" t="n"/>
      <c r="D400" s="6" t="n"/>
      <c r="E400" s="7" t="n"/>
      <c r="F400" s="7" t="n"/>
      <c r="G400" s="7" t="n"/>
      <c r="H400" s="3">
        <f>IFERROR(VLOOKUP(B400,Inventory!$A:$B,2,FALSE)*D400,0)</f>
        <v/>
      </c>
      <c r="I400" s="3">
        <f>IF(C400="",0,IFERROR(VLOOKUP(C400,Settings!$A$2:$F$5,2,FALSE)+(E400*D400+F400)*VLOOKUP(C400,Settings!$A$2:$F$5,3,FALSE)/100+(E400*D400+F400)*VLOOKUP(C400,Settings!$A$2:$F$5,4,FALSE)/100+VLOOKUP(C400,Settings!$A$2:$F$5,5,FALSE)+VLOOKUP(C400,Settings!$A$2:$F$5,6,FALSE),0))</f>
        <v/>
      </c>
      <c r="J400" s="3">
        <f>IF(B400="","",IF(ISNA(MATCH(B400,Inventory!$A$2:$A$201,0)),"Check product",E400*D400+F400-I400-G400-H400))</f>
        <v/>
      </c>
      <c r="K400" s="4">
        <f>IF(OR(B400="",NOT(ISNUMBER(J400)),E400*D400+F400=0),"",J400/(E400*D400+F400))</f>
        <v/>
      </c>
    </row>
    <row r="401">
      <c r="A401" s="8" t="n"/>
      <c r="B401" s="6" t="n"/>
      <c r="C401" s="6" t="n"/>
      <c r="D401" s="6" t="n"/>
      <c r="E401" s="7" t="n"/>
      <c r="F401" s="7" t="n"/>
      <c r="G401" s="7" t="n"/>
      <c r="H401" s="3">
        <f>IFERROR(VLOOKUP(B401,Inventory!$A:$B,2,FALSE)*D401,0)</f>
        <v/>
      </c>
      <c r="I401" s="3">
        <f>IF(C401="",0,IFERROR(VLOOKUP(C401,Settings!$A$2:$F$5,2,FALSE)+(E401*D401+F401)*VLOOKUP(C401,Settings!$A$2:$F$5,3,FALSE)/100+(E401*D401+F401)*VLOOKUP(C401,Settings!$A$2:$F$5,4,FALSE)/100+VLOOKUP(C401,Settings!$A$2:$F$5,5,FALSE)+VLOOKUP(C401,Settings!$A$2:$F$5,6,FALSE),0))</f>
        <v/>
      </c>
      <c r="J401" s="3">
        <f>IF(B401="","",IF(ISNA(MATCH(B401,Inventory!$A$2:$A$201,0)),"Check product",E401*D401+F401-I401-G401-H401))</f>
        <v/>
      </c>
      <c r="K401" s="4">
        <f>IF(OR(B401="",NOT(ISNUMBER(J401)),E401*D401+F401=0),"",J401/(E401*D401+F401))</f>
        <v/>
      </c>
    </row>
    <row r="402">
      <c r="A402" s="8" t="n"/>
      <c r="B402" s="6" t="n"/>
      <c r="C402" s="6" t="n"/>
      <c r="D402" s="6" t="n"/>
      <c r="E402" s="7" t="n"/>
      <c r="F402" s="7" t="n"/>
      <c r="G402" s="7" t="n"/>
      <c r="H402" s="3">
        <f>IFERROR(VLOOKUP(B402,Inventory!$A:$B,2,FALSE)*D402,0)</f>
        <v/>
      </c>
      <c r="I402" s="3">
        <f>IF(C402="",0,IFERROR(VLOOKUP(C402,Settings!$A$2:$F$5,2,FALSE)+(E402*D402+F402)*VLOOKUP(C402,Settings!$A$2:$F$5,3,FALSE)/100+(E402*D402+F402)*VLOOKUP(C402,Settings!$A$2:$F$5,4,FALSE)/100+VLOOKUP(C402,Settings!$A$2:$F$5,5,FALSE)+VLOOKUP(C402,Settings!$A$2:$F$5,6,FALSE),0))</f>
        <v/>
      </c>
      <c r="J402" s="3">
        <f>IF(B402="","",IF(ISNA(MATCH(B402,Inventory!$A$2:$A$201,0)),"Check product",E402*D402+F402-I402-G402-H402))</f>
        <v/>
      </c>
      <c r="K402" s="4">
        <f>IF(OR(B402="",NOT(ISNUMBER(J402)),E402*D402+F402=0),"",J402/(E402*D402+F402))</f>
        <v/>
      </c>
    </row>
    <row r="403">
      <c r="A403" s="8" t="n"/>
      <c r="B403" s="6" t="n"/>
      <c r="C403" s="6" t="n"/>
      <c r="D403" s="6" t="n"/>
      <c r="E403" s="7" t="n"/>
      <c r="F403" s="7" t="n"/>
      <c r="G403" s="7" t="n"/>
      <c r="H403" s="3">
        <f>IFERROR(VLOOKUP(B403,Inventory!$A:$B,2,FALSE)*D403,0)</f>
        <v/>
      </c>
      <c r="I403" s="3">
        <f>IF(C403="",0,IFERROR(VLOOKUP(C403,Settings!$A$2:$F$5,2,FALSE)+(E403*D403+F403)*VLOOKUP(C403,Settings!$A$2:$F$5,3,FALSE)/100+(E403*D403+F403)*VLOOKUP(C403,Settings!$A$2:$F$5,4,FALSE)/100+VLOOKUP(C403,Settings!$A$2:$F$5,5,FALSE)+VLOOKUP(C403,Settings!$A$2:$F$5,6,FALSE),0))</f>
        <v/>
      </c>
      <c r="J403" s="3">
        <f>IF(B403="","",IF(ISNA(MATCH(B403,Inventory!$A$2:$A$201,0)),"Check product",E403*D403+F403-I403-G403-H403))</f>
        <v/>
      </c>
      <c r="K403" s="4">
        <f>IF(OR(B403="",NOT(ISNUMBER(J403)),E403*D403+F403=0),"",J403/(E403*D403+F403))</f>
        <v/>
      </c>
    </row>
    <row r="404">
      <c r="A404" s="8" t="n"/>
      <c r="B404" s="6" t="n"/>
      <c r="C404" s="6" t="n"/>
      <c r="D404" s="6" t="n"/>
      <c r="E404" s="7" t="n"/>
      <c r="F404" s="7" t="n"/>
      <c r="G404" s="7" t="n"/>
      <c r="H404" s="3">
        <f>IFERROR(VLOOKUP(B404,Inventory!$A:$B,2,FALSE)*D404,0)</f>
        <v/>
      </c>
      <c r="I404" s="3">
        <f>IF(C404="",0,IFERROR(VLOOKUP(C404,Settings!$A$2:$F$5,2,FALSE)+(E404*D404+F404)*VLOOKUP(C404,Settings!$A$2:$F$5,3,FALSE)/100+(E404*D404+F404)*VLOOKUP(C404,Settings!$A$2:$F$5,4,FALSE)/100+VLOOKUP(C404,Settings!$A$2:$F$5,5,FALSE)+VLOOKUP(C404,Settings!$A$2:$F$5,6,FALSE),0))</f>
        <v/>
      </c>
      <c r="J404" s="3">
        <f>IF(B404="","",IF(ISNA(MATCH(B404,Inventory!$A$2:$A$201,0)),"Check product",E404*D404+F404-I404-G404-H404))</f>
        <v/>
      </c>
      <c r="K404" s="4">
        <f>IF(OR(B404="",NOT(ISNUMBER(J404)),E404*D404+F404=0),"",J404/(E404*D404+F404))</f>
        <v/>
      </c>
    </row>
    <row r="405">
      <c r="A405" s="8" t="n"/>
      <c r="B405" s="6" t="n"/>
      <c r="C405" s="6" t="n"/>
      <c r="D405" s="6" t="n"/>
      <c r="E405" s="7" t="n"/>
      <c r="F405" s="7" t="n"/>
      <c r="G405" s="7" t="n"/>
      <c r="H405" s="3">
        <f>IFERROR(VLOOKUP(B405,Inventory!$A:$B,2,FALSE)*D405,0)</f>
        <v/>
      </c>
      <c r="I405" s="3">
        <f>IF(C405="",0,IFERROR(VLOOKUP(C405,Settings!$A$2:$F$5,2,FALSE)+(E405*D405+F405)*VLOOKUP(C405,Settings!$A$2:$F$5,3,FALSE)/100+(E405*D405+F405)*VLOOKUP(C405,Settings!$A$2:$F$5,4,FALSE)/100+VLOOKUP(C405,Settings!$A$2:$F$5,5,FALSE)+VLOOKUP(C405,Settings!$A$2:$F$5,6,FALSE),0))</f>
        <v/>
      </c>
      <c r="J405" s="3">
        <f>IF(B405="","",IF(ISNA(MATCH(B405,Inventory!$A$2:$A$201,0)),"Check product",E405*D405+F405-I405-G405-H405))</f>
        <v/>
      </c>
      <c r="K405" s="4">
        <f>IF(OR(B405="",NOT(ISNUMBER(J405)),E405*D405+F405=0),"",J405/(E405*D405+F405))</f>
        <v/>
      </c>
    </row>
    <row r="406">
      <c r="A406" s="8" t="n"/>
      <c r="B406" s="6" t="n"/>
      <c r="C406" s="6" t="n"/>
      <c r="D406" s="6" t="n"/>
      <c r="E406" s="7" t="n"/>
      <c r="F406" s="7" t="n"/>
      <c r="G406" s="7" t="n"/>
      <c r="H406" s="3">
        <f>IFERROR(VLOOKUP(B406,Inventory!$A:$B,2,FALSE)*D406,0)</f>
        <v/>
      </c>
      <c r="I406" s="3">
        <f>IF(C406="",0,IFERROR(VLOOKUP(C406,Settings!$A$2:$F$5,2,FALSE)+(E406*D406+F406)*VLOOKUP(C406,Settings!$A$2:$F$5,3,FALSE)/100+(E406*D406+F406)*VLOOKUP(C406,Settings!$A$2:$F$5,4,FALSE)/100+VLOOKUP(C406,Settings!$A$2:$F$5,5,FALSE)+VLOOKUP(C406,Settings!$A$2:$F$5,6,FALSE),0))</f>
        <v/>
      </c>
      <c r="J406" s="3">
        <f>IF(B406="","",IF(ISNA(MATCH(B406,Inventory!$A$2:$A$201,0)),"Check product",E406*D406+F406-I406-G406-H406))</f>
        <v/>
      </c>
      <c r="K406" s="4">
        <f>IF(OR(B406="",NOT(ISNUMBER(J406)),E406*D406+F406=0),"",J406/(E406*D406+F406))</f>
        <v/>
      </c>
    </row>
    <row r="407">
      <c r="A407" s="8" t="n"/>
      <c r="B407" s="6" t="n"/>
      <c r="C407" s="6" t="n"/>
      <c r="D407" s="6" t="n"/>
      <c r="E407" s="7" t="n"/>
      <c r="F407" s="7" t="n"/>
      <c r="G407" s="7" t="n"/>
      <c r="H407" s="3">
        <f>IFERROR(VLOOKUP(B407,Inventory!$A:$B,2,FALSE)*D407,0)</f>
        <v/>
      </c>
      <c r="I407" s="3">
        <f>IF(C407="",0,IFERROR(VLOOKUP(C407,Settings!$A$2:$F$5,2,FALSE)+(E407*D407+F407)*VLOOKUP(C407,Settings!$A$2:$F$5,3,FALSE)/100+(E407*D407+F407)*VLOOKUP(C407,Settings!$A$2:$F$5,4,FALSE)/100+VLOOKUP(C407,Settings!$A$2:$F$5,5,FALSE)+VLOOKUP(C407,Settings!$A$2:$F$5,6,FALSE),0))</f>
        <v/>
      </c>
      <c r="J407" s="3">
        <f>IF(B407="","",IF(ISNA(MATCH(B407,Inventory!$A$2:$A$201,0)),"Check product",E407*D407+F407-I407-G407-H407))</f>
        <v/>
      </c>
      <c r="K407" s="4">
        <f>IF(OR(B407="",NOT(ISNUMBER(J407)),E407*D407+F407=0),"",J407/(E407*D407+F407))</f>
        <v/>
      </c>
    </row>
    <row r="408">
      <c r="A408" s="8" t="n"/>
      <c r="B408" s="6" t="n"/>
      <c r="C408" s="6" t="n"/>
      <c r="D408" s="6" t="n"/>
      <c r="E408" s="7" t="n"/>
      <c r="F408" s="7" t="n"/>
      <c r="G408" s="7" t="n"/>
      <c r="H408" s="3">
        <f>IFERROR(VLOOKUP(B408,Inventory!$A:$B,2,FALSE)*D408,0)</f>
        <v/>
      </c>
      <c r="I408" s="3">
        <f>IF(C408="",0,IFERROR(VLOOKUP(C408,Settings!$A$2:$F$5,2,FALSE)+(E408*D408+F408)*VLOOKUP(C408,Settings!$A$2:$F$5,3,FALSE)/100+(E408*D408+F408)*VLOOKUP(C408,Settings!$A$2:$F$5,4,FALSE)/100+VLOOKUP(C408,Settings!$A$2:$F$5,5,FALSE)+VLOOKUP(C408,Settings!$A$2:$F$5,6,FALSE),0))</f>
        <v/>
      </c>
      <c r="J408" s="3">
        <f>IF(B408="","",IF(ISNA(MATCH(B408,Inventory!$A$2:$A$201,0)),"Check product",E408*D408+F408-I408-G408-H408))</f>
        <v/>
      </c>
      <c r="K408" s="4">
        <f>IF(OR(B408="",NOT(ISNUMBER(J408)),E408*D408+F408=0),"",J408/(E408*D408+F408))</f>
        <v/>
      </c>
    </row>
    <row r="409">
      <c r="A409" s="8" t="n"/>
      <c r="B409" s="6" t="n"/>
      <c r="C409" s="6" t="n"/>
      <c r="D409" s="6" t="n"/>
      <c r="E409" s="7" t="n"/>
      <c r="F409" s="7" t="n"/>
      <c r="G409" s="7" t="n"/>
      <c r="H409" s="3">
        <f>IFERROR(VLOOKUP(B409,Inventory!$A:$B,2,FALSE)*D409,0)</f>
        <v/>
      </c>
      <c r="I409" s="3">
        <f>IF(C409="",0,IFERROR(VLOOKUP(C409,Settings!$A$2:$F$5,2,FALSE)+(E409*D409+F409)*VLOOKUP(C409,Settings!$A$2:$F$5,3,FALSE)/100+(E409*D409+F409)*VLOOKUP(C409,Settings!$A$2:$F$5,4,FALSE)/100+VLOOKUP(C409,Settings!$A$2:$F$5,5,FALSE)+VLOOKUP(C409,Settings!$A$2:$F$5,6,FALSE),0))</f>
        <v/>
      </c>
      <c r="J409" s="3">
        <f>IF(B409="","",IF(ISNA(MATCH(B409,Inventory!$A$2:$A$201,0)),"Check product",E409*D409+F409-I409-G409-H409))</f>
        <v/>
      </c>
      <c r="K409" s="4">
        <f>IF(OR(B409="",NOT(ISNUMBER(J409)),E409*D409+F409=0),"",J409/(E409*D409+F409))</f>
        <v/>
      </c>
    </row>
    <row r="410">
      <c r="A410" s="8" t="n"/>
      <c r="B410" s="6" t="n"/>
      <c r="C410" s="6" t="n"/>
      <c r="D410" s="6" t="n"/>
      <c r="E410" s="7" t="n"/>
      <c r="F410" s="7" t="n"/>
      <c r="G410" s="7" t="n"/>
      <c r="H410" s="3">
        <f>IFERROR(VLOOKUP(B410,Inventory!$A:$B,2,FALSE)*D410,0)</f>
        <v/>
      </c>
      <c r="I410" s="3">
        <f>IF(C410="",0,IFERROR(VLOOKUP(C410,Settings!$A$2:$F$5,2,FALSE)+(E410*D410+F410)*VLOOKUP(C410,Settings!$A$2:$F$5,3,FALSE)/100+(E410*D410+F410)*VLOOKUP(C410,Settings!$A$2:$F$5,4,FALSE)/100+VLOOKUP(C410,Settings!$A$2:$F$5,5,FALSE)+VLOOKUP(C410,Settings!$A$2:$F$5,6,FALSE),0))</f>
        <v/>
      </c>
      <c r="J410" s="3">
        <f>IF(B410="","",IF(ISNA(MATCH(B410,Inventory!$A$2:$A$201,0)),"Check product",E410*D410+F410-I410-G410-H410))</f>
        <v/>
      </c>
      <c r="K410" s="4">
        <f>IF(OR(B410="",NOT(ISNUMBER(J410)),E410*D410+F410=0),"",J410/(E410*D410+F410))</f>
        <v/>
      </c>
    </row>
    <row r="411">
      <c r="A411" s="8" t="n"/>
      <c r="B411" s="6" t="n"/>
      <c r="C411" s="6" t="n"/>
      <c r="D411" s="6" t="n"/>
      <c r="E411" s="7" t="n"/>
      <c r="F411" s="7" t="n"/>
      <c r="G411" s="7" t="n"/>
      <c r="H411" s="3">
        <f>IFERROR(VLOOKUP(B411,Inventory!$A:$B,2,FALSE)*D411,0)</f>
        <v/>
      </c>
      <c r="I411" s="3">
        <f>IF(C411="",0,IFERROR(VLOOKUP(C411,Settings!$A$2:$F$5,2,FALSE)+(E411*D411+F411)*VLOOKUP(C411,Settings!$A$2:$F$5,3,FALSE)/100+(E411*D411+F411)*VLOOKUP(C411,Settings!$A$2:$F$5,4,FALSE)/100+VLOOKUP(C411,Settings!$A$2:$F$5,5,FALSE)+VLOOKUP(C411,Settings!$A$2:$F$5,6,FALSE),0))</f>
        <v/>
      </c>
      <c r="J411" s="3">
        <f>IF(B411="","",IF(ISNA(MATCH(B411,Inventory!$A$2:$A$201,0)),"Check product",E411*D411+F411-I411-G411-H411))</f>
        <v/>
      </c>
      <c r="K411" s="4">
        <f>IF(OR(B411="",NOT(ISNUMBER(J411)),E411*D411+F411=0),"",J411/(E411*D411+F411))</f>
        <v/>
      </c>
    </row>
    <row r="412">
      <c r="A412" s="8" t="n"/>
      <c r="B412" s="6" t="n"/>
      <c r="C412" s="6" t="n"/>
      <c r="D412" s="6" t="n"/>
      <c r="E412" s="7" t="n"/>
      <c r="F412" s="7" t="n"/>
      <c r="G412" s="7" t="n"/>
      <c r="H412" s="3">
        <f>IFERROR(VLOOKUP(B412,Inventory!$A:$B,2,FALSE)*D412,0)</f>
        <v/>
      </c>
      <c r="I412" s="3">
        <f>IF(C412="",0,IFERROR(VLOOKUP(C412,Settings!$A$2:$F$5,2,FALSE)+(E412*D412+F412)*VLOOKUP(C412,Settings!$A$2:$F$5,3,FALSE)/100+(E412*D412+F412)*VLOOKUP(C412,Settings!$A$2:$F$5,4,FALSE)/100+VLOOKUP(C412,Settings!$A$2:$F$5,5,FALSE)+VLOOKUP(C412,Settings!$A$2:$F$5,6,FALSE),0))</f>
        <v/>
      </c>
      <c r="J412" s="3">
        <f>IF(B412="","",IF(ISNA(MATCH(B412,Inventory!$A$2:$A$201,0)),"Check product",E412*D412+F412-I412-G412-H412))</f>
        <v/>
      </c>
      <c r="K412" s="4">
        <f>IF(OR(B412="",NOT(ISNUMBER(J412)),E412*D412+F412=0),"",J412/(E412*D412+F412))</f>
        <v/>
      </c>
    </row>
    <row r="413">
      <c r="A413" s="8" t="n"/>
      <c r="B413" s="6" t="n"/>
      <c r="C413" s="6" t="n"/>
      <c r="D413" s="6" t="n"/>
      <c r="E413" s="7" t="n"/>
      <c r="F413" s="7" t="n"/>
      <c r="G413" s="7" t="n"/>
      <c r="H413" s="3">
        <f>IFERROR(VLOOKUP(B413,Inventory!$A:$B,2,FALSE)*D413,0)</f>
        <v/>
      </c>
      <c r="I413" s="3">
        <f>IF(C413="",0,IFERROR(VLOOKUP(C413,Settings!$A$2:$F$5,2,FALSE)+(E413*D413+F413)*VLOOKUP(C413,Settings!$A$2:$F$5,3,FALSE)/100+(E413*D413+F413)*VLOOKUP(C413,Settings!$A$2:$F$5,4,FALSE)/100+VLOOKUP(C413,Settings!$A$2:$F$5,5,FALSE)+VLOOKUP(C413,Settings!$A$2:$F$5,6,FALSE),0))</f>
        <v/>
      </c>
      <c r="J413" s="3">
        <f>IF(B413="","",IF(ISNA(MATCH(B413,Inventory!$A$2:$A$201,0)),"Check product",E413*D413+F413-I413-G413-H413))</f>
        <v/>
      </c>
      <c r="K413" s="4">
        <f>IF(OR(B413="",NOT(ISNUMBER(J413)),E413*D413+F413=0),"",J413/(E413*D413+F413))</f>
        <v/>
      </c>
    </row>
    <row r="414">
      <c r="A414" s="8" t="n"/>
      <c r="B414" s="6" t="n"/>
      <c r="C414" s="6" t="n"/>
      <c r="D414" s="6" t="n"/>
      <c r="E414" s="7" t="n"/>
      <c r="F414" s="7" t="n"/>
      <c r="G414" s="7" t="n"/>
      <c r="H414" s="3">
        <f>IFERROR(VLOOKUP(B414,Inventory!$A:$B,2,FALSE)*D414,0)</f>
        <v/>
      </c>
      <c r="I414" s="3">
        <f>IF(C414="",0,IFERROR(VLOOKUP(C414,Settings!$A$2:$F$5,2,FALSE)+(E414*D414+F414)*VLOOKUP(C414,Settings!$A$2:$F$5,3,FALSE)/100+(E414*D414+F414)*VLOOKUP(C414,Settings!$A$2:$F$5,4,FALSE)/100+VLOOKUP(C414,Settings!$A$2:$F$5,5,FALSE)+VLOOKUP(C414,Settings!$A$2:$F$5,6,FALSE),0))</f>
        <v/>
      </c>
      <c r="J414" s="3">
        <f>IF(B414="","",IF(ISNA(MATCH(B414,Inventory!$A$2:$A$201,0)),"Check product",E414*D414+F414-I414-G414-H414))</f>
        <v/>
      </c>
      <c r="K414" s="4">
        <f>IF(OR(B414="",NOT(ISNUMBER(J414)),E414*D414+F414=0),"",J414/(E414*D414+F414))</f>
        <v/>
      </c>
    </row>
    <row r="415">
      <c r="A415" s="8" t="n"/>
      <c r="B415" s="6" t="n"/>
      <c r="C415" s="6" t="n"/>
      <c r="D415" s="6" t="n"/>
      <c r="E415" s="7" t="n"/>
      <c r="F415" s="7" t="n"/>
      <c r="G415" s="7" t="n"/>
      <c r="H415" s="3">
        <f>IFERROR(VLOOKUP(B415,Inventory!$A:$B,2,FALSE)*D415,0)</f>
        <v/>
      </c>
      <c r="I415" s="3">
        <f>IF(C415="",0,IFERROR(VLOOKUP(C415,Settings!$A$2:$F$5,2,FALSE)+(E415*D415+F415)*VLOOKUP(C415,Settings!$A$2:$F$5,3,FALSE)/100+(E415*D415+F415)*VLOOKUP(C415,Settings!$A$2:$F$5,4,FALSE)/100+VLOOKUP(C415,Settings!$A$2:$F$5,5,FALSE)+VLOOKUP(C415,Settings!$A$2:$F$5,6,FALSE),0))</f>
        <v/>
      </c>
      <c r="J415" s="3">
        <f>IF(B415="","",IF(ISNA(MATCH(B415,Inventory!$A$2:$A$201,0)),"Check product",E415*D415+F415-I415-G415-H415))</f>
        <v/>
      </c>
      <c r="K415" s="4">
        <f>IF(OR(B415="",NOT(ISNUMBER(J415)),E415*D415+F415=0),"",J415/(E415*D415+F415))</f>
        <v/>
      </c>
    </row>
    <row r="416">
      <c r="A416" s="8" t="n"/>
      <c r="B416" s="6" t="n"/>
      <c r="C416" s="6" t="n"/>
      <c r="D416" s="6" t="n"/>
      <c r="E416" s="7" t="n"/>
      <c r="F416" s="7" t="n"/>
      <c r="G416" s="7" t="n"/>
      <c r="H416" s="3">
        <f>IFERROR(VLOOKUP(B416,Inventory!$A:$B,2,FALSE)*D416,0)</f>
        <v/>
      </c>
      <c r="I416" s="3">
        <f>IF(C416="",0,IFERROR(VLOOKUP(C416,Settings!$A$2:$F$5,2,FALSE)+(E416*D416+F416)*VLOOKUP(C416,Settings!$A$2:$F$5,3,FALSE)/100+(E416*D416+F416)*VLOOKUP(C416,Settings!$A$2:$F$5,4,FALSE)/100+VLOOKUP(C416,Settings!$A$2:$F$5,5,FALSE)+VLOOKUP(C416,Settings!$A$2:$F$5,6,FALSE),0))</f>
        <v/>
      </c>
      <c r="J416" s="3">
        <f>IF(B416="","",IF(ISNA(MATCH(B416,Inventory!$A$2:$A$201,0)),"Check product",E416*D416+F416-I416-G416-H416))</f>
        <v/>
      </c>
      <c r="K416" s="4">
        <f>IF(OR(B416="",NOT(ISNUMBER(J416)),E416*D416+F416=0),"",J416/(E416*D416+F416))</f>
        <v/>
      </c>
    </row>
    <row r="417">
      <c r="A417" s="8" t="n"/>
      <c r="B417" s="6" t="n"/>
      <c r="C417" s="6" t="n"/>
      <c r="D417" s="6" t="n"/>
      <c r="E417" s="7" t="n"/>
      <c r="F417" s="7" t="n"/>
      <c r="G417" s="7" t="n"/>
      <c r="H417" s="3">
        <f>IFERROR(VLOOKUP(B417,Inventory!$A:$B,2,FALSE)*D417,0)</f>
        <v/>
      </c>
      <c r="I417" s="3">
        <f>IF(C417="",0,IFERROR(VLOOKUP(C417,Settings!$A$2:$F$5,2,FALSE)+(E417*D417+F417)*VLOOKUP(C417,Settings!$A$2:$F$5,3,FALSE)/100+(E417*D417+F417)*VLOOKUP(C417,Settings!$A$2:$F$5,4,FALSE)/100+VLOOKUP(C417,Settings!$A$2:$F$5,5,FALSE)+VLOOKUP(C417,Settings!$A$2:$F$5,6,FALSE),0))</f>
        <v/>
      </c>
      <c r="J417" s="3">
        <f>IF(B417="","",IF(ISNA(MATCH(B417,Inventory!$A$2:$A$201,0)),"Check product",E417*D417+F417-I417-G417-H417))</f>
        <v/>
      </c>
      <c r="K417" s="4">
        <f>IF(OR(B417="",NOT(ISNUMBER(J417)),E417*D417+F417=0),"",J417/(E417*D417+F417))</f>
        <v/>
      </c>
    </row>
    <row r="418">
      <c r="A418" s="8" t="n"/>
      <c r="B418" s="6" t="n"/>
      <c r="C418" s="6" t="n"/>
      <c r="D418" s="6" t="n"/>
      <c r="E418" s="7" t="n"/>
      <c r="F418" s="7" t="n"/>
      <c r="G418" s="7" t="n"/>
      <c r="H418" s="3">
        <f>IFERROR(VLOOKUP(B418,Inventory!$A:$B,2,FALSE)*D418,0)</f>
        <v/>
      </c>
      <c r="I418" s="3">
        <f>IF(C418="",0,IFERROR(VLOOKUP(C418,Settings!$A$2:$F$5,2,FALSE)+(E418*D418+F418)*VLOOKUP(C418,Settings!$A$2:$F$5,3,FALSE)/100+(E418*D418+F418)*VLOOKUP(C418,Settings!$A$2:$F$5,4,FALSE)/100+VLOOKUP(C418,Settings!$A$2:$F$5,5,FALSE)+VLOOKUP(C418,Settings!$A$2:$F$5,6,FALSE),0))</f>
        <v/>
      </c>
      <c r="J418" s="3">
        <f>IF(B418="","",IF(ISNA(MATCH(B418,Inventory!$A$2:$A$201,0)),"Check product",E418*D418+F418-I418-G418-H418))</f>
        <v/>
      </c>
      <c r="K418" s="4">
        <f>IF(OR(B418="",NOT(ISNUMBER(J418)),E418*D418+F418=0),"",J418/(E418*D418+F418))</f>
        <v/>
      </c>
    </row>
    <row r="419">
      <c r="A419" s="8" t="n"/>
      <c r="B419" s="6" t="n"/>
      <c r="C419" s="6" t="n"/>
      <c r="D419" s="6" t="n"/>
      <c r="E419" s="7" t="n"/>
      <c r="F419" s="7" t="n"/>
      <c r="G419" s="7" t="n"/>
      <c r="H419" s="3">
        <f>IFERROR(VLOOKUP(B419,Inventory!$A:$B,2,FALSE)*D419,0)</f>
        <v/>
      </c>
      <c r="I419" s="3">
        <f>IF(C419="",0,IFERROR(VLOOKUP(C419,Settings!$A$2:$F$5,2,FALSE)+(E419*D419+F419)*VLOOKUP(C419,Settings!$A$2:$F$5,3,FALSE)/100+(E419*D419+F419)*VLOOKUP(C419,Settings!$A$2:$F$5,4,FALSE)/100+VLOOKUP(C419,Settings!$A$2:$F$5,5,FALSE)+VLOOKUP(C419,Settings!$A$2:$F$5,6,FALSE),0))</f>
        <v/>
      </c>
      <c r="J419" s="3">
        <f>IF(B419="","",IF(ISNA(MATCH(B419,Inventory!$A$2:$A$201,0)),"Check product",E419*D419+F419-I419-G419-H419))</f>
        <v/>
      </c>
      <c r="K419" s="4">
        <f>IF(OR(B419="",NOT(ISNUMBER(J419)),E419*D419+F419=0),"",J419/(E419*D419+F419))</f>
        <v/>
      </c>
    </row>
    <row r="420">
      <c r="A420" s="8" t="n"/>
      <c r="B420" s="6" t="n"/>
      <c r="C420" s="6" t="n"/>
      <c r="D420" s="6" t="n"/>
      <c r="E420" s="7" t="n"/>
      <c r="F420" s="7" t="n"/>
      <c r="G420" s="7" t="n"/>
      <c r="H420" s="3">
        <f>IFERROR(VLOOKUP(B420,Inventory!$A:$B,2,FALSE)*D420,0)</f>
        <v/>
      </c>
      <c r="I420" s="3">
        <f>IF(C420="",0,IFERROR(VLOOKUP(C420,Settings!$A$2:$F$5,2,FALSE)+(E420*D420+F420)*VLOOKUP(C420,Settings!$A$2:$F$5,3,FALSE)/100+(E420*D420+F420)*VLOOKUP(C420,Settings!$A$2:$F$5,4,FALSE)/100+VLOOKUP(C420,Settings!$A$2:$F$5,5,FALSE)+VLOOKUP(C420,Settings!$A$2:$F$5,6,FALSE),0))</f>
        <v/>
      </c>
      <c r="J420" s="3">
        <f>IF(B420="","",IF(ISNA(MATCH(B420,Inventory!$A$2:$A$201,0)),"Check product",E420*D420+F420-I420-G420-H420))</f>
        <v/>
      </c>
      <c r="K420" s="4">
        <f>IF(OR(B420="",NOT(ISNUMBER(J420)),E420*D420+F420=0),"",J420/(E420*D420+F420))</f>
        <v/>
      </c>
    </row>
    <row r="421">
      <c r="A421" s="8" t="n"/>
      <c r="B421" s="6" t="n"/>
      <c r="C421" s="6" t="n"/>
      <c r="D421" s="6" t="n"/>
      <c r="E421" s="7" t="n"/>
      <c r="F421" s="7" t="n"/>
      <c r="G421" s="7" t="n"/>
      <c r="H421" s="3">
        <f>IFERROR(VLOOKUP(B421,Inventory!$A:$B,2,FALSE)*D421,0)</f>
        <v/>
      </c>
      <c r="I421" s="3">
        <f>IF(C421="",0,IFERROR(VLOOKUP(C421,Settings!$A$2:$F$5,2,FALSE)+(E421*D421+F421)*VLOOKUP(C421,Settings!$A$2:$F$5,3,FALSE)/100+(E421*D421+F421)*VLOOKUP(C421,Settings!$A$2:$F$5,4,FALSE)/100+VLOOKUP(C421,Settings!$A$2:$F$5,5,FALSE)+VLOOKUP(C421,Settings!$A$2:$F$5,6,FALSE),0))</f>
        <v/>
      </c>
      <c r="J421" s="3">
        <f>IF(B421="","",IF(ISNA(MATCH(B421,Inventory!$A$2:$A$201,0)),"Check product",E421*D421+F421-I421-G421-H421))</f>
        <v/>
      </c>
      <c r="K421" s="4">
        <f>IF(OR(B421="",NOT(ISNUMBER(J421)),E421*D421+F421=0),"",J421/(E421*D421+F421))</f>
        <v/>
      </c>
    </row>
    <row r="422">
      <c r="A422" s="8" t="n"/>
      <c r="B422" s="6" t="n"/>
      <c r="C422" s="6" t="n"/>
      <c r="D422" s="6" t="n"/>
      <c r="E422" s="7" t="n"/>
      <c r="F422" s="7" t="n"/>
      <c r="G422" s="7" t="n"/>
      <c r="H422" s="3">
        <f>IFERROR(VLOOKUP(B422,Inventory!$A:$B,2,FALSE)*D422,0)</f>
        <v/>
      </c>
      <c r="I422" s="3">
        <f>IF(C422="",0,IFERROR(VLOOKUP(C422,Settings!$A$2:$F$5,2,FALSE)+(E422*D422+F422)*VLOOKUP(C422,Settings!$A$2:$F$5,3,FALSE)/100+(E422*D422+F422)*VLOOKUP(C422,Settings!$A$2:$F$5,4,FALSE)/100+VLOOKUP(C422,Settings!$A$2:$F$5,5,FALSE)+VLOOKUP(C422,Settings!$A$2:$F$5,6,FALSE),0))</f>
        <v/>
      </c>
      <c r="J422" s="3">
        <f>IF(B422="","",IF(ISNA(MATCH(B422,Inventory!$A$2:$A$201,0)),"Check product",E422*D422+F422-I422-G422-H422))</f>
        <v/>
      </c>
      <c r="K422" s="4">
        <f>IF(OR(B422="",NOT(ISNUMBER(J422)),E422*D422+F422=0),"",J422/(E422*D422+F422))</f>
        <v/>
      </c>
    </row>
    <row r="423">
      <c r="A423" s="8" t="n"/>
      <c r="B423" s="6" t="n"/>
      <c r="C423" s="6" t="n"/>
      <c r="D423" s="6" t="n"/>
      <c r="E423" s="7" t="n"/>
      <c r="F423" s="7" t="n"/>
      <c r="G423" s="7" t="n"/>
      <c r="H423" s="3">
        <f>IFERROR(VLOOKUP(B423,Inventory!$A:$B,2,FALSE)*D423,0)</f>
        <v/>
      </c>
      <c r="I423" s="3">
        <f>IF(C423="",0,IFERROR(VLOOKUP(C423,Settings!$A$2:$F$5,2,FALSE)+(E423*D423+F423)*VLOOKUP(C423,Settings!$A$2:$F$5,3,FALSE)/100+(E423*D423+F423)*VLOOKUP(C423,Settings!$A$2:$F$5,4,FALSE)/100+VLOOKUP(C423,Settings!$A$2:$F$5,5,FALSE)+VLOOKUP(C423,Settings!$A$2:$F$5,6,FALSE),0))</f>
        <v/>
      </c>
      <c r="J423" s="3">
        <f>IF(B423="","",IF(ISNA(MATCH(B423,Inventory!$A$2:$A$201,0)),"Check product",E423*D423+F423-I423-G423-H423))</f>
        <v/>
      </c>
      <c r="K423" s="4">
        <f>IF(OR(B423="",NOT(ISNUMBER(J423)),E423*D423+F423=0),"",J423/(E423*D423+F423))</f>
        <v/>
      </c>
    </row>
    <row r="424">
      <c r="A424" s="8" t="n"/>
      <c r="B424" s="6" t="n"/>
      <c r="C424" s="6" t="n"/>
      <c r="D424" s="6" t="n"/>
      <c r="E424" s="7" t="n"/>
      <c r="F424" s="7" t="n"/>
      <c r="G424" s="7" t="n"/>
      <c r="H424" s="3">
        <f>IFERROR(VLOOKUP(B424,Inventory!$A:$B,2,FALSE)*D424,0)</f>
        <v/>
      </c>
      <c r="I424" s="3">
        <f>IF(C424="",0,IFERROR(VLOOKUP(C424,Settings!$A$2:$F$5,2,FALSE)+(E424*D424+F424)*VLOOKUP(C424,Settings!$A$2:$F$5,3,FALSE)/100+(E424*D424+F424)*VLOOKUP(C424,Settings!$A$2:$F$5,4,FALSE)/100+VLOOKUP(C424,Settings!$A$2:$F$5,5,FALSE)+VLOOKUP(C424,Settings!$A$2:$F$5,6,FALSE),0))</f>
        <v/>
      </c>
      <c r="J424" s="3">
        <f>IF(B424="","",IF(ISNA(MATCH(B424,Inventory!$A$2:$A$201,0)),"Check product",E424*D424+F424-I424-G424-H424))</f>
        <v/>
      </c>
      <c r="K424" s="4">
        <f>IF(OR(B424="",NOT(ISNUMBER(J424)),E424*D424+F424=0),"",J424/(E424*D424+F424))</f>
        <v/>
      </c>
    </row>
    <row r="425">
      <c r="A425" s="8" t="n"/>
      <c r="B425" s="6" t="n"/>
      <c r="C425" s="6" t="n"/>
      <c r="D425" s="6" t="n"/>
      <c r="E425" s="7" t="n"/>
      <c r="F425" s="7" t="n"/>
      <c r="G425" s="7" t="n"/>
      <c r="H425" s="3">
        <f>IFERROR(VLOOKUP(B425,Inventory!$A:$B,2,FALSE)*D425,0)</f>
        <v/>
      </c>
      <c r="I425" s="3">
        <f>IF(C425="",0,IFERROR(VLOOKUP(C425,Settings!$A$2:$F$5,2,FALSE)+(E425*D425+F425)*VLOOKUP(C425,Settings!$A$2:$F$5,3,FALSE)/100+(E425*D425+F425)*VLOOKUP(C425,Settings!$A$2:$F$5,4,FALSE)/100+VLOOKUP(C425,Settings!$A$2:$F$5,5,FALSE)+VLOOKUP(C425,Settings!$A$2:$F$5,6,FALSE),0))</f>
        <v/>
      </c>
      <c r="J425" s="3">
        <f>IF(B425="","",IF(ISNA(MATCH(B425,Inventory!$A$2:$A$201,0)),"Check product",E425*D425+F425-I425-G425-H425))</f>
        <v/>
      </c>
      <c r="K425" s="4">
        <f>IF(OR(B425="",NOT(ISNUMBER(J425)),E425*D425+F425=0),"",J425/(E425*D425+F425))</f>
        <v/>
      </c>
    </row>
    <row r="426">
      <c r="A426" s="8" t="n"/>
      <c r="B426" s="6" t="n"/>
      <c r="C426" s="6" t="n"/>
      <c r="D426" s="6" t="n"/>
      <c r="E426" s="7" t="n"/>
      <c r="F426" s="7" t="n"/>
      <c r="G426" s="7" t="n"/>
      <c r="H426" s="3">
        <f>IFERROR(VLOOKUP(B426,Inventory!$A:$B,2,FALSE)*D426,0)</f>
        <v/>
      </c>
      <c r="I426" s="3">
        <f>IF(C426="",0,IFERROR(VLOOKUP(C426,Settings!$A$2:$F$5,2,FALSE)+(E426*D426+F426)*VLOOKUP(C426,Settings!$A$2:$F$5,3,FALSE)/100+(E426*D426+F426)*VLOOKUP(C426,Settings!$A$2:$F$5,4,FALSE)/100+VLOOKUP(C426,Settings!$A$2:$F$5,5,FALSE)+VLOOKUP(C426,Settings!$A$2:$F$5,6,FALSE),0))</f>
        <v/>
      </c>
      <c r="J426" s="3">
        <f>IF(B426="","",IF(ISNA(MATCH(B426,Inventory!$A$2:$A$201,0)),"Check product",E426*D426+F426-I426-G426-H426))</f>
        <v/>
      </c>
      <c r="K426" s="4">
        <f>IF(OR(B426="",NOT(ISNUMBER(J426)),E426*D426+F426=0),"",J426/(E426*D426+F426))</f>
        <v/>
      </c>
    </row>
    <row r="427">
      <c r="A427" s="8" t="n"/>
      <c r="B427" s="6" t="n"/>
      <c r="C427" s="6" t="n"/>
      <c r="D427" s="6" t="n"/>
      <c r="E427" s="7" t="n"/>
      <c r="F427" s="7" t="n"/>
      <c r="G427" s="7" t="n"/>
      <c r="H427" s="3">
        <f>IFERROR(VLOOKUP(B427,Inventory!$A:$B,2,FALSE)*D427,0)</f>
        <v/>
      </c>
      <c r="I427" s="3">
        <f>IF(C427="",0,IFERROR(VLOOKUP(C427,Settings!$A$2:$F$5,2,FALSE)+(E427*D427+F427)*VLOOKUP(C427,Settings!$A$2:$F$5,3,FALSE)/100+(E427*D427+F427)*VLOOKUP(C427,Settings!$A$2:$F$5,4,FALSE)/100+VLOOKUP(C427,Settings!$A$2:$F$5,5,FALSE)+VLOOKUP(C427,Settings!$A$2:$F$5,6,FALSE),0))</f>
        <v/>
      </c>
      <c r="J427" s="3">
        <f>IF(B427="","",IF(ISNA(MATCH(B427,Inventory!$A$2:$A$201,0)),"Check product",E427*D427+F427-I427-G427-H427))</f>
        <v/>
      </c>
      <c r="K427" s="4">
        <f>IF(OR(B427="",NOT(ISNUMBER(J427)),E427*D427+F427=0),"",J427/(E427*D427+F427))</f>
        <v/>
      </c>
    </row>
    <row r="428">
      <c r="A428" s="8" t="n"/>
      <c r="B428" s="6" t="n"/>
      <c r="C428" s="6" t="n"/>
      <c r="D428" s="6" t="n"/>
      <c r="E428" s="7" t="n"/>
      <c r="F428" s="7" t="n"/>
      <c r="G428" s="7" t="n"/>
      <c r="H428" s="3">
        <f>IFERROR(VLOOKUP(B428,Inventory!$A:$B,2,FALSE)*D428,0)</f>
        <v/>
      </c>
      <c r="I428" s="3">
        <f>IF(C428="",0,IFERROR(VLOOKUP(C428,Settings!$A$2:$F$5,2,FALSE)+(E428*D428+F428)*VLOOKUP(C428,Settings!$A$2:$F$5,3,FALSE)/100+(E428*D428+F428)*VLOOKUP(C428,Settings!$A$2:$F$5,4,FALSE)/100+VLOOKUP(C428,Settings!$A$2:$F$5,5,FALSE)+VLOOKUP(C428,Settings!$A$2:$F$5,6,FALSE),0))</f>
        <v/>
      </c>
      <c r="J428" s="3">
        <f>IF(B428="","",IF(ISNA(MATCH(B428,Inventory!$A$2:$A$201,0)),"Check product",E428*D428+F428-I428-G428-H428))</f>
        <v/>
      </c>
      <c r="K428" s="4">
        <f>IF(OR(B428="",NOT(ISNUMBER(J428)),E428*D428+F428=0),"",J428/(E428*D428+F428))</f>
        <v/>
      </c>
    </row>
    <row r="429">
      <c r="A429" s="8" t="n"/>
      <c r="B429" s="6" t="n"/>
      <c r="C429" s="6" t="n"/>
      <c r="D429" s="6" t="n"/>
      <c r="E429" s="7" t="n"/>
      <c r="F429" s="7" t="n"/>
      <c r="G429" s="7" t="n"/>
      <c r="H429" s="3">
        <f>IFERROR(VLOOKUP(B429,Inventory!$A:$B,2,FALSE)*D429,0)</f>
        <v/>
      </c>
      <c r="I429" s="3">
        <f>IF(C429="",0,IFERROR(VLOOKUP(C429,Settings!$A$2:$F$5,2,FALSE)+(E429*D429+F429)*VLOOKUP(C429,Settings!$A$2:$F$5,3,FALSE)/100+(E429*D429+F429)*VLOOKUP(C429,Settings!$A$2:$F$5,4,FALSE)/100+VLOOKUP(C429,Settings!$A$2:$F$5,5,FALSE)+VLOOKUP(C429,Settings!$A$2:$F$5,6,FALSE),0))</f>
        <v/>
      </c>
      <c r="J429" s="3">
        <f>IF(B429="","",IF(ISNA(MATCH(B429,Inventory!$A$2:$A$201,0)),"Check product",E429*D429+F429-I429-G429-H429))</f>
        <v/>
      </c>
      <c r="K429" s="4">
        <f>IF(OR(B429="",NOT(ISNUMBER(J429)),E429*D429+F429=0),"",J429/(E429*D429+F429))</f>
        <v/>
      </c>
    </row>
    <row r="430">
      <c r="A430" s="8" t="n"/>
      <c r="B430" s="6" t="n"/>
      <c r="C430" s="6" t="n"/>
      <c r="D430" s="6" t="n"/>
      <c r="E430" s="7" t="n"/>
      <c r="F430" s="7" t="n"/>
      <c r="G430" s="7" t="n"/>
      <c r="H430" s="3">
        <f>IFERROR(VLOOKUP(B430,Inventory!$A:$B,2,FALSE)*D430,0)</f>
        <v/>
      </c>
      <c r="I430" s="3">
        <f>IF(C430="",0,IFERROR(VLOOKUP(C430,Settings!$A$2:$F$5,2,FALSE)+(E430*D430+F430)*VLOOKUP(C430,Settings!$A$2:$F$5,3,FALSE)/100+(E430*D430+F430)*VLOOKUP(C430,Settings!$A$2:$F$5,4,FALSE)/100+VLOOKUP(C430,Settings!$A$2:$F$5,5,FALSE)+VLOOKUP(C430,Settings!$A$2:$F$5,6,FALSE),0))</f>
        <v/>
      </c>
      <c r="J430" s="3">
        <f>IF(B430="","",IF(ISNA(MATCH(B430,Inventory!$A$2:$A$201,0)),"Check product",E430*D430+F430-I430-G430-H430))</f>
        <v/>
      </c>
      <c r="K430" s="4">
        <f>IF(OR(B430="",NOT(ISNUMBER(J430)),E430*D430+F430=0),"",J430/(E430*D430+F430))</f>
        <v/>
      </c>
    </row>
    <row r="431">
      <c r="A431" s="8" t="n"/>
      <c r="B431" s="6" t="n"/>
      <c r="C431" s="6" t="n"/>
      <c r="D431" s="6" t="n"/>
      <c r="E431" s="7" t="n"/>
      <c r="F431" s="7" t="n"/>
      <c r="G431" s="7" t="n"/>
      <c r="H431" s="3">
        <f>IFERROR(VLOOKUP(B431,Inventory!$A:$B,2,FALSE)*D431,0)</f>
        <v/>
      </c>
      <c r="I431" s="3">
        <f>IF(C431="",0,IFERROR(VLOOKUP(C431,Settings!$A$2:$F$5,2,FALSE)+(E431*D431+F431)*VLOOKUP(C431,Settings!$A$2:$F$5,3,FALSE)/100+(E431*D431+F431)*VLOOKUP(C431,Settings!$A$2:$F$5,4,FALSE)/100+VLOOKUP(C431,Settings!$A$2:$F$5,5,FALSE)+VLOOKUP(C431,Settings!$A$2:$F$5,6,FALSE),0))</f>
        <v/>
      </c>
      <c r="J431" s="3">
        <f>IF(B431="","",IF(ISNA(MATCH(B431,Inventory!$A$2:$A$201,0)),"Check product",E431*D431+F431-I431-G431-H431))</f>
        <v/>
      </c>
      <c r="K431" s="4">
        <f>IF(OR(B431="",NOT(ISNUMBER(J431)),E431*D431+F431=0),"",J431/(E431*D431+F431))</f>
        <v/>
      </c>
    </row>
    <row r="432">
      <c r="A432" s="8" t="n"/>
      <c r="B432" s="6" t="n"/>
      <c r="C432" s="6" t="n"/>
      <c r="D432" s="6" t="n"/>
      <c r="E432" s="7" t="n"/>
      <c r="F432" s="7" t="n"/>
      <c r="G432" s="7" t="n"/>
      <c r="H432" s="3">
        <f>IFERROR(VLOOKUP(B432,Inventory!$A:$B,2,FALSE)*D432,0)</f>
        <v/>
      </c>
      <c r="I432" s="3">
        <f>IF(C432="",0,IFERROR(VLOOKUP(C432,Settings!$A$2:$F$5,2,FALSE)+(E432*D432+F432)*VLOOKUP(C432,Settings!$A$2:$F$5,3,FALSE)/100+(E432*D432+F432)*VLOOKUP(C432,Settings!$A$2:$F$5,4,FALSE)/100+VLOOKUP(C432,Settings!$A$2:$F$5,5,FALSE)+VLOOKUP(C432,Settings!$A$2:$F$5,6,FALSE),0))</f>
        <v/>
      </c>
      <c r="J432" s="3">
        <f>IF(B432="","",IF(ISNA(MATCH(B432,Inventory!$A$2:$A$201,0)),"Check product",E432*D432+F432-I432-G432-H432))</f>
        <v/>
      </c>
      <c r="K432" s="4">
        <f>IF(OR(B432="",NOT(ISNUMBER(J432)),E432*D432+F432=0),"",J432/(E432*D432+F432))</f>
        <v/>
      </c>
    </row>
    <row r="433">
      <c r="A433" s="8" t="n"/>
      <c r="B433" s="6" t="n"/>
      <c r="C433" s="6" t="n"/>
      <c r="D433" s="6" t="n"/>
      <c r="E433" s="7" t="n"/>
      <c r="F433" s="7" t="n"/>
      <c r="G433" s="7" t="n"/>
      <c r="H433" s="3">
        <f>IFERROR(VLOOKUP(B433,Inventory!$A:$B,2,FALSE)*D433,0)</f>
        <v/>
      </c>
      <c r="I433" s="3">
        <f>IF(C433="",0,IFERROR(VLOOKUP(C433,Settings!$A$2:$F$5,2,FALSE)+(E433*D433+F433)*VLOOKUP(C433,Settings!$A$2:$F$5,3,FALSE)/100+(E433*D433+F433)*VLOOKUP(C433,Settings!$A$2:$F$5,4,FALSE)/100+VLOOKUP(C433,Settings!$A$2:$F$5,5,FALSE)+VLOOKUP(C433,Settings!$A$2:$F$5,6,FALSE),0))</f>
        <v/>
      </c>
      <c r="J433" s="3">
        <f>IF(B433="","",IF(ISNA(MATCH(B433,Inventory!$A$2:$A$201,0)),"Check product",E433*D433+F433-I433-G433-H433))</f>
        <v/>
      </c>
      <c r="K433" s="4">
        <f>IF(OR(B433="",NOT(ISNUMBER(J433)),E433*D433+F433=0),"",J433/(E433*D433+F433))</f>
        <v/>
      </c>
    </row>
    <row r="434">
      <c r="A434" s="8" t="n"/>
      <c r="B434" s="6" t="n"/>
      <c r="C434" s="6" t="n"/>
      <c r="D434" s="6" t="n"/>
      <c r="E434" s="7" t="n"/>
      <c r="F434" s="7" t="n"/>
      <c r="G434" s="7" t="n"/>
      <c r="H434" s="3">
        <f>IFERROR(VLOOKUP(B434,Inventory!$A:$B,2,FALSE)*D434,0)</f>
        <v/>
      </c>
      <c r="I434" s="3">
        <f>IF(C434="",0,IFERROR(VLOOKUP(C434,Settings!$A$2:$F$5,2,FALSE)+(E434*D434+F434)*VLOOKUP(C434,Settings!$A$2:$F$5,3,FALSE)/100+(E434*D434+F434)*VLOOKUP(C434,Settings!$A$2:$F$5,4,FALSE)/100+VLOOKUP(C434,Settings!$A$2:$F$5,5,FALSE)+VLOOKUP(C434,Settings!$A$2:$F$5,6,FALSE),0))</f>
        <v/>
      </c>
      <c r="J434" s="3">
        <f>IF(B434="","",IF(ISNA(MATCH(B434,Inventory!$A$2:$A$201,0)),"Check product",E434*D434+F434-I434-G434-H434))</f>
        <v/>
      </c>
      <c r="K434" s="4">
        <f>IF(OR(B434="",NOT(ISNUMBER(J434)),E434*D434+F434=0),"",J434/(E434*D434+F434))</f>
        <v/>
      </c>
    </row>
    <row r="435">
      <c r="A435" s="8" t="n"/>
      <c r="B435" s="6" t="n"/>
      <c r="C435" s="6" t="n"/>
      <c r="D435" s="6" t="n"/>
      <c r="E435" s="7" t="n"/>
      <c r="F435" s="7" t="n"/>
      <c r="G435" s="7" t="n"/>
      <c r="H435" s="3">
        <f>IFERROR(VLOOKUP(B435,Inventory!$A:$B,2,FALSE)*D435,0)</f>
        <v/>
      </c>
      <c r="I435" s="3">
        <f>IF(C435="",0,IFERROR(VLOOKUP(C435,Settings!$A$2:$F$5,2,FALSE)+(E435*D435+F435)*VLOOKUP(C435,Settings!$A$2:$F$5,3,FALSE)/100+(E435*D435+F435)*VLOOKUP(C435,Settings!$A$2:$F$5,4,FALSE)/100+VLOOKUP(C435,Settings!$A$2:$F$5,5,FALSE)+VLOOKUP(C435,Settings!$A$2:$F$5,6,FALSE),0))</f>
        <v/>
      </c>
      <c r="J435" s="3">
        <f>IF(B435="","",IF(ISNA(MATCH(B435,Inventory!$A$2:$A$201,0)),"Check product",E435*D435+F435-I435-G435-H435))</f>
        <v/>
      </c>
      <c r="K435" s="4">
        <f>IF(OR(B435="",NOT(ISNUMBER(J435)),E435*D435+F435=0),"",J435/(E435*D435+F435))</f>
        <v/>
      </c>
    </row>
    <row r="436">
      <c r="A436" s="8" t="n"/>
      <c r="B436" s="6" t="n"/>
      <c r="C436" s="6" t="n"/>
      <c r="D436" s="6" t="n"/>
      <c r="E436" s="7" t="n"/>
      <c r="F436" s="7" t="n"/>
      <c r="G436" s="7" t="n"/>
      <c r="H436" s="3">
        <f>IFERROR(VLOOKUP(B436,Inventory!$A:$B,2,FALSE)*D436,0)</f>
        <v/>
      </c>
      <c r="I436" s="3">
        <f>IF(C436="",0,IFERROR(VLOOKUP(C436,Settings!$A$2:$F$5,2,FALSE)+(E436*D436+F436)*VLOOKUP(C436,Settings!$A$2:$F$5,3,FALSE)/100+(E436*D436+F436)*VLOOKUP(C436,Settings!$A$2:$F$5,4,FALSE)/100+VLOOKUP(C436,Settings!$A$2:$F$5,5,FALSE)+VLOOKUP(C436,Settings!$A$2:$F$5,6,FALSE),0))</f>
        <v/>
      </c>
      <c r="J436" s="3">
        <f>IF(B436="","",IF(ISNA(MATCH(B436,Inventory!$A$2:$A$201,0)),"Check product",E436*D436+F436-I436-G436-H436))</f>
        <v/>
      </c>
      <c r="K436" s="4">
        <f>IF(OR(B436="",NOT(ISNUMBER(J436)),E436*D436+F436=0),"",J436/(E436*D436+F436))</f>
        <v/>
      </c>
    </row>
    <row r="437">
      <c r="A437" s="8" t="n"/>
      <c r="B437" s="6" t="n"/>
      <c r="C437" s="6" t="n"/>
      <c r="D437" s="6" t="n"/>
      <c r="E437" s="7" t="n"/>
      <c r="F437" s="7" t="n"/>
      <c r="G437" s="7" t="n"/>
      <c r="H437" s="3">
        <f>IFERROR(VLOOKUP(B437,Inventory!$A:$B,2,FALSE)*D437,0)</f>
        <v/>
      </c>
      <c r="I437" s="3">
        <f>IF(C437="",0,IFERROR(VLOOKUP(C437,Settings!$A$2:$F$5,2,FALSE)+(E437*D437+F437)*VLOOKUP(C437,Settings!$A$2:$F$5,3,FALSE)/100+(E437*D437+F437)*VLOOKUP(C437,Settings!$A$2:$F$5,4,FALSE)/100+VLOOKUP(C437,Settings!$A$2:$F$5,5,FALSE)+VLOOKUP(C437,Settings!$A$2:$F$5,6,FALSE),0))</f>
        <v/>
      </c>
      <c r="J437" s="3">
        <f>IF(B437="","",IF(ISNA(MATCH(B437,Inventory!$A$2:$A$201,0)),"Check product",E437*D437+F437-I437-G437-H437))</f>
        <v/>
      </c>
      <c r="K437" s="4">
        <f>IF(OR(B437="",NOT(ISNUMBER(J437)),E437*D437+F437=0),"",J437/(E437*D437+F437))</f>
        <v/>
      </c>
    </row>
    <row r="438">
      <c r="A438" s="8" t="n"/>
      <c r="B438" s="6" t="n"/>
      <c r="C438" s="6" t="n"/>
      <c r="D438" s="6" t="n"/>
      <c r="E438" s="7" t="n"/>
      <c r="F438" s="7" t="n"/>
      <c r="G438" s="7" t="n"/>
      <c r="H438" s="3">
        <f>IFERROR(VLOOKUP(B438,Inventory!$A:$B,2,FALSE)*D438,0)</f>
        <v/>
      </c>
      <c r="I438" s="3">
        <f>IF(C438="",0,IFERROR(VLOOKUP(C438,Settings!$A$2:$F$5,2,FALSE)+(E438*D438+F438)*VLOOKUP(C438,Settings!$A$2:$F$5,3,FALSE)/100+(E438*D438+F438)*VLOOKUP(C438,Settings!$A$2:$F$5,4,FALSE)/100+VLOOKUP(C438,Settings!$A$2:$F$5,5,FALSE)+VLOOKUP(C438,Settings!$A$2:$F$5,6,FALSE),0))</f>
        <v/>
      </c>
      <c r="J438" s="3">
        <f>IF(B438="","",IF(ISNA(MATCH(B438,Inventory!$A$2:$A$201,0)),"Check product",E438*D438+F438-I438-G438-H438))</f>
        <v/>
      </c>
      <c r="K438" s="4">
        <f>IF(OR(B438="",NOT(ISNUMBER(J438)),E438*D438+F438=0),"",J438/(E438*D438+F438))</f>
        <v/>
      </c>
    </row>
    <row r="439">
      <c r="A439" s="8" t="n"/>
      <c r="B439" s="6" t="n"/>
      <c r="C439" s="6" t="n"/>
      <c r="D439" s="6" t="n"/>
      <c r="E439" s="7" t="n"/>
      <c r="F439" s="7" t="n"/>
      <c r="G439" s="7" t="n"/>
      <c r="H439" s="3">
        <f>IFERROR(VLOOKUP(B439,Inventory!$A:$B,2,FALSE)*D439,0)</f>
        <v/>
      </c>
      <c r="I439" s="3">
        <f>IF(C439="",0,IFERROR(VLOOKUP(C439,Settings!$A$2:$F$5,2,FALSE)+(E439*D439+F439)*VLOOKUP(C439,Settings!$A$2:$F$5,3,FALSE)/100+(E439*D439+F439)*VLOOKUP(C439,Settings!$A$2:$F$5,4,FALSE)/100+VLOOKUP(C439,Settings!$A$2:$F$5,5,FALSE)+VLOOKUP(C439,Settings!$A$2:$F$5,6,FALSE),0))</f>
        <v/>
      </c>
      <c r="J439" s="3">
        <f>IF(B439="","",IF(ISNA(MATCH(B439,Inventory!$A$2:$A$201,0)),"Check product",E439*D439+F439-I439-G439-H439))</f>
        <v/>
      </c>
      <c r="K439" s="4">
        <f>IF(OR(B439="",NOT(ISNUMBER(J439)),E439*D439+F439=0),"",J439/(E439*D439+F439))</f>
        <v/>
      </c>
    </row>
    <row r="440">
      <c r="A440" s="8" t="n"/>
      <c r="B440" s="6" t="n"/>
      <c r="C440" s="6" t="n"/>
      <c r="D440" s="6" t="n"/>
      <c r="E440" s="7" t="n"/>
      <c r="F440" s="7" t="n"/>
      <c r="G440" s="7" t="n"/>
      <c r="H440" s="3">
        <f>IFERROR(VLOOKUP(B440,Inventory!$A:$B,2,FALSE)*D440,0)</f>
        <v/>
      </c>
      <c r="I440" s="3">
        <f>IF(C440="",0,IFERROR(VLOOKUP(C440,Settings!$A$2:$F$5,2,FALSE)+(E440*D440+F440)*VLOOKUP(C440,Settings!$A$2:$F$5,3,FALSE)/100+(E440*D440+F440)*VLOOKUP(C440,Settings!$A$2:$F$5,4,FALSE)/100+VLOOKUP(C440,Settings!$A$2:$F$5,5,FALSE)+VLOOKUP(C440,Settings!$A$2:$F$5,6,FALSE),0))</f>
        <v/>
      </c>
      <c r="J440" s="3">
        <f>IF(B440="","",IF(ISNA(MATCH(B440,Inventory!$A$2:$A$201,0)),"Check product",E440*D440+F440-I440-G440-H440))</f>
        <v/>
      </c>
      <c r="K440" s="4">
        <f>IF(OR(B440="",NOT(ISNUMBER(J440)),E440*D440+F440=0),"",J440/(E440*D440+F440))</f>
        <v/>
      </c>
    </row>
    <row r="441">
      <c r="A441" s="8" t="n"/>
      <c r="B441" s="6" t="n"/>
      <c r="C441" s="6" t="n"/>
      <c r="D441" s="6" t="n"/>
      <c r="E441" s="7" t="n"/>
      <c r="F441" s="7" t="n"/>
      <c r="G441" s="7" t="n"/>
      <c r="H441" s="3">
        <f>IFERROR(VLOOKUP(B441,Inventory!$A:$B,2,FALSE)*D441,0)</f>
        <v/>
      </c>
      <c r="I441" s="3">
        <f>IF(C441="",0,IFERROR(VLOOKUP(C441,Settings!$A$2:$F$5,2,FALSE)+(E441*D441+F441)*VLOOKUP(C441,Settings!$A$2:$F$5,3,FALSE)/100+(E441*D441+F441)*VLOOKUP(C441,Settings!$A$2:$F$5,4,FALSE)/100+VLOOKUP(C441,Settings!$A$2:$F$5,5,FALSE)+VLOOKUP(C441,Settings!$A$2:$F$5,6,FALSE),0))</f>
        <v/>
      </c>
      <c r="J441" s="3">
        <f>IF(B441="","",IF(ISNA(MATCH(B441,Inventory!$A$2:$A$201,0)),"Check product",E441*D441+F441-I441-G441-H441))</f>
        <v/>
      </c>
      <c r="K441" s="4">
        <f>IF(OR(B441="",NOT(ISNUMBER(J441)),E441*D441+F441=0),"",J441/(E441*D441+F441))</f>
        <v/>
      </c>
    </row>
    <row r="442">
      <c r="A442" s="8" t="n"/>
      <c r="B442" s="6" t="n"/>
      <c r="C442" s="6" t="n"/>
      <c r="D442" s="6" t="n"/>
      <c r="E442" s="7" t="n"/>
      <c r="F442" s="7" t="n"/>
      <c r="G442" s="7" t="n"/>
      <c r="H442" s="3">
        <f>IFERROR(VLOOKUP(B442,Inventory!$A:$B,2,FALSE)*D442,0)</f>
        <v/>
      </c>
      <c r="I442" s="3">
        <f>IF(C442="",0,IFERROR(VLOOKUP(C442,Settings!$A$2:$F$5,2,FALSE)+(E442*D442+F442)*VLOOKUP(C442,Settings!$A$2:$F$5,3,FALSE)/100+(E442*D442+F442)*VLOOKUP(C442,Settings!$A$2:$F$5,4,FALSE)/100+VLOOKUP(C442,Settings!$A$2:$F$5,5,FALSE)+VLOOKUP(C442,Settings!$A$2:$F$5,6,FALSE),0))</f>
        <v/>
      </c>
      <c r="J442" s="3">
        <f>IF(B442="","",IF(ISNA(MATCH(B442,Inventory!$A$2:$A$201,0)),"Check product",E442*D442+F442-I442-G442-H442))</f>
        <v/>
      </c>
      <c r="K442" s="4">
        <f>IF(OR(B442="",NOT(ISNUMBER(J442)),E442*D442+F442=0),"",J442/(E442*D442+F442))</f>
        <v/>
      </c>
    </row>
    <row r="443">
      <c r="A443" s="8" t="n"/>
      <c r="B443" s="6" t="n"/>
      <c r="C443" s="6" t="n"/>
      <c r="D443" s="6" t="n"/>
      <c r="E443" s="7" t="n"/>
      <c r="F443" s="7" t="n"/>
      <c r="G443" s="7" t="n"/>
      <c r="H443" s="3">
        <f>IFERROR(VLOOKUP(B443,Inventory!$A:$B,2,FALSE)*D443,0)</f>
        <v/>
      </c>
      <c r="I443" s="3">
        <f>IF(C443="",0,IFERROR(VLOOKUP(C443,Settings!$A$2:$F$5,2,FALSE)+(E443*D443+F443)*VLOOKUP(C443,Settings!$A$2:$F$5,3,FALSE)/100+(E443*D443+F443)*VLOOKUP(C443,Settings!$A$2:$F$5,4,FALSE)/100+VLOOKUP(C443,Settings!$A$2:$F$5,5,FALSE)+VLOOKUP(C443,Settings!$A$2:$F$5,6,FALSE),0))</f>
        <v/>
      </c>
      <c r="J443" s="3">
        <f>IF(B443="","",IF(ISNA(MATCH(B443,Inventory!$A$2:$A$201,0)),"Check product",E443*D443+F443-I443-G443-H443))</f>
        <v/>
      </c>
      <c r="K443" s="4">
        <f>IF(OR(B443="",NOT(ISNUMBER(J443)),E443*D443+F443=0),"",J443/(E443*D443+F443))</f>
        <v/>
      </c>
    </row>
    <row r="444">
      <c r="A444" s="8" t="n"/>
      <c r="B444" s="6" t="n"/>
      <c r="C444" s="6" t="n"/>
      <c r="D444" s="6" t="n"/>
      <c r="E444" s="7" t="n"/>
      <c r="F444" s="7" t="n"/>
      <c r="G444" s="7" t="n"/>
      <c r="H444" s="3">
        <f>IFERROR(VLOOKUP(B444,Inventory!$A:$B,2,FALSE)*D444,0)</f>
        <v/>
      </c>
      <c r="I444" s="3">
        <f>IF(C444="",0,IFERROR(VLOOKUP(C444,Settings!$A$2:$F$5,2,FALSE)+(E444*D444+F444)*VLOOKUP(C444,Settings!$A$2:$F$5,3,FALSE)/100+(E444*D444+F444)*VLOOKUP(C444,Settings!$A$2:$F$5,4,FALSE)/100+VLOOKUP(C444,Settings!$A$2:$F$5,5,FALSE)+VLOOKUP(C444,Settings!$A$2:$F$5,6,FALSE),0))</f>
        <v/>
      </c>
      <c r="J444" s="3">
        <f>IF(B444="","",IF(ISNA(MATCH(B444,Inventory!$A$2:$A$201,0)),"Check product",E444*D444+F444-I444-G444-H444))</f>
        <v/>
      </c>
      <c r="K444" s="4">
        <f>IF(OR(B444="",NOT(ISNUMBER(J444)),E444*D444+F444=0),"",J444/(E444*D444+F444))</f>
        <v/>
      </c>
    </row>
    <row r="445">
      <c r="A445" s="8" t="n"/>
      <c r="B445" s="6" t="n"/>
      <c r="C445" s="6" t="n"/>
      <c r="D445" s="6" t="n"/>
      <c r="E445" s="7" t="n"/>
      <c r="F445" s="7" t="n"/>
      <c r="G445" s="7" t="n"/>
      <c r="H445" s="3">
        <f>IFERROR(VLOOKUP(B445,Inventory!$A:$B,2,FALSE)*D445,0)</f>
        <v/>
      </c>
      <c r="I445" s="3">
        <f>IF(C445="",0,IFERROR(VLOOKUP(C445,Settings!$A$2:$F$5,2,FALSE)+(E445*D445+F445)*VLOOKUP(C445,Settings!$A$2:$F$5,3,FALSE)/100+(E445*D445+F445)*VLOOKUP(C445,Settings!$A$2:$F$5,4,FALSE)/100+VLOOKUP(C445,Settings!$A$2:$F$5,5,FALSE)+VLOOKUP(C445,Settings!$A$2:$F$5,6,FALSE),0))</f>
        <v/>
      </c>
      <c r="J445" s="3">
        <f>IF(B445="","",IF(ISNA(MATCH(B445,Inventory!$A$2:$A$201,0)),"Check product",E445*D445+F445-I445-G445-H445))</f>
        <v/>
      </c>
      <c r="K445" s="4">
        <f>IF(OR(B445="",NOT(ISNUMBER(J445)),E445*D445+F445=0),"",J445/(E445*D445+F445))</f>
        <v/>
      </c>
    </row>
    <row r="446">
      <c r="A446" s="8" t="n"/>
      <c r="B446" s="6" t="n"/>
      <c r="C446" s="6" t="n"/>
      <c r="D446" s="6" t="n"/>
      <c r="E446" s="7" t="n"/>
      <c r="F446" s="7" t="n"/>
      <c r="G446" s="7" t="n"/>
      <c r="H446" s="3">
        <f>IFERROR(VLOOKUP(B446,Inventory!$A:$B,2,FALSE)*D446,0)</f>
        <v/>
      </c>
      <c r="I446" s="3">
        <f>IF(C446="",0,IFERROR(VLOOKUP(C446,Settings!$A$2:$F$5,2,FALSE)+(E446*D446+F446)*VLOOKUP(C446,Settings!$A$2:$F$5,3,FALSE)/100+(E446*D446+F446)*VLOOKUP(C446,Settings!$A$2:$F$5,4,FALSE)/100+VLOOKUP(C446,Settings!$A$2:$F$5,5,FALSE)+VLOOKUP(C446,Settings!$A$2:$F$5,6,FALSE),0))</f>
        <v/>
      </c>
      <c r="J446" s="3">
        <f>IF(B446="","",IF(ISNA(MATCH(B446,Inventory!$A$2:$A$201,0)),"Check product",E446*D446+F446-I446-G446-H446))</f>
        <v/>
      </c>
      <c r="K446" s="4">
        <f>IF(OR(B446="",NOT(ISNUMBER(J446)),E446*D446+F446=0),"",J446/(E446*D446+F446))</f>
        <v/>
      </c>
    </row>
    <row r="447">
      <c r="A447" s="8" t="n"/>
      <c r="B447" s="6" t="n"/>
      <c r="C447" s="6" t="n"/>
      <c r="D447" s="6" t="n"/>
      <c r="E447" s="7" t="n"/>
      <c r="F447" s="7" t="n"/>
      <c r="G447" s="7" t="n"/>
      <c r="H447" s="3">
        <f>IFERROR(VLOOKUP(B447,Inventory!$A:$B,2,FALSE)*D447,0)</f>
        <v/>
      </c>
      <c r="I447" s="3">
        <f>IF(C447="",0,IFERROR(VLOOKUP(C447,Settings!$A$2:$F$5,2,FALSE)+(E447*D447+F447)*VLOOKUP(C447,Settings!$A$2:$F$5,3,FALSE)/100+(E447*D447+F447)*VLOOKUP(C447,Settings!$A$2:$F$5,4,FALSE)/100+VLOOKUP(C447,Settings!$A$2:$F$5,5,FALSE)+VLOOKUP(C447,Settings!$A$2:$F$5,6,FALSE),0))</f>
        <v/>
      </c>
      <c r="J447" s="3">
        <f>IF(B447="","",IF(ISNA(MATCH(B447,Inventory!$A$2:$A$201,0)),"Check product",E447*D447+F447-I447-G447-H447))</f>
        <v/>
      </c>
      <c r="K447" s="4">
        <f>IF(OR(B447="",NOT(ISNUMBER(J447)),E447*D447+F447=0),"",J447/(E447*D447+F447))</f>
        <v/>
      </c>
    </row>
    <row r="448">
      <c r="A448" s="8" t="n"/>
      <c r="B448" s="6" t="n"/>
      <c r="C448" s="6" t="n"/>
      <c r="D448" s="6" t="n"/>
      <c r="E448" s="7" t="n"/>
      <c r="F448" s="7" t="n"/>
      <c r="G448" s="7" t="n"/>
      <c r="H448" s="3">
        <f>IFERROR(VLOOKUP(B448,Inventory!$A:$B,2,FALSE)*D448,0)</f>
        <v/>
      </c>
      <c r="I448" s="3">
        <f>IF(C448="",0,IFERROR(VLOOKUP(C448,Settings!$A$2:$F$5,2,FALSE)+(E448*D448+F448)*VLOOKUP(C448,Settings!$A$2:$F$5,3,FALSE)/100+(E448*D448+F448)*VLOOKUP(C448,Settings!$A$2:$F$5,4,FALSE)/100+VLOOKUP(C448,Settings!$A$2:$F$5,5,FALSE)+VLOOKUP(C448,Settings!$A$2:$F$5,6,FALSE),0))</f>
        <v/>
      </c>
      <c r="J448" s="3">
        <f>IF(B448="","",IF(ISNA(MATCH(B448,Inventory!$A$2:$A$201,0)),"Check product",E448*D448+F448-I448-G448-H448))</f>
        <v/>
      </c>
      <c r="K448" s="4">
        <f>IF(OR(B448="",NOT(ISNUMBER(J448)),E448*D448+F448=0),"",J448/(E448*D448+F448))</f>
        <v/>
      </c>
    </row>
    <row r="449">
      <c r="A449" s="8" t="n"/>
      <c r="B449" s="6" t="n"/>
      <c r="C449" s="6" t="n"/>
      <c r="D449" s="6" t="n"/>
      <c r="E449" s="7" t="n"/>
      <c r="F449" s="7" t="n"/>
      <c r="G449" s="7" t="n"/>
      <c r="H449" s="3">
        <f>IFERROR(VLOOKUP(B449,Inventory!$A:$B,2,FALSE)*D449,0)</f>
        <v/>
      </c>
      <c r="I449" s="3">
        <f>IF(C449="",0,IFERROR(VLOOKUP(C449,Settings!$A$2:$F$5,2,FALSE)+(E449*D449+F449)*VLOOKUP(C449,Settings!$A$2:$F$5,3,FALSE)/100+(E449*D449+F449)*VLOOKUP(C449,Settings!$A$2:$F$5,4,FALSE)/100+VLOOKUP(C449,Settings!$A$2:$F$5,5,FALSE)+VLOOKUP(C449,Settings!$A$2:$F$5,6,FALSE),0))</f>
        <v/>
      </c>
      <c r="J449" s="3">
        <f>IF(B449="","",IF(ISNA(MATCH(B449,Inventory!$A$2:$A$201,0)),"Check product",E449*D449+F449-I449-G449-H449))</f>
        <v/>
      </c>
      <c r="K449" s="4">
        <f>IF(OR(B449="",NOT(ISNUMBER(J449)),E449*D449+F449=0),"",J449/(E449*D449+F449))</f>
        <v/>
      </c>
    </row>
    <row r="450">
      <c r="A450" s="8" t="n"/>
      <c r="B450" s="6" t="n"/>
      <c r="C450" s="6" t="n"/>
      <c r="D450" s="6" t="n"/>
      <c r="E450" s="7" t="n"/>
      <c r="F450" s="7" t="n"/>
      <c r="G450" s="7" t="n"/>
      <c r="H450" s="3">
        <f>IFERROR(VLOOKUP(B450,Inventory!$A:$B,2,FALSE)*D450,0)</f>
        <v/>
      </c>
      <c r="I450" s="3">
        <f>IF(C450="",0,IFERROR(VLOOKUP(C450,Settings!$A$2:$F$5,2,FALSE)+(E450*D450+F450)*VLOOKUP(C450,Settings!$A$2:$F$5,3,FALSE)/100+(E450*D450+F450)*VLOOKUP(C450,Settings!$A$2:$F$5,4,FALSE)/100+VLOOKUP(C450,Settings!$A$2:$F$5,5,FALSE)+VLOOKUP(C450,Settings!$A$2:$F$5,6,FALSE),0))</f>
        <v/>
      </c>
      <c r="J450" s="3">
        <f>IF(B450="","",IF(ISNA(MATCH(B450,Inventory!$A$2:$A$201,0)),"Check product",E450*D450+F450-I450-G450-H450))</f>
        <v/>
      </c>
      <c r="K450" s="4">
        <f>IF(OR(B450="",NOT(ISNUMBER(J450)),E450*D450+F450=0),"",J450/(E450*D450+F450))</f>
        <v/>
      </c>
    </row>
    <row r="451">
      <c r="A451" s="8" t="n"/>
      <c r="B451" s="6" t="n"/>
      <c r="C451" s="6" t="n"/>
      <c r="D451" s="6" t="n"/>
      <c r="E451" s="7" t="n"/>
      <c r="F451" s="7" t="n"/>
      <c r="G451" s="7" t="n"/>
      <c r="H451" s="3">
        <f>IFERROR(VLOOKUP(B451,Inventory!$A:$B,2,FALSE)*D451,0)</f>
        <v/>
      </c>
      <c r="I451" s="3">
        <f>IF(C451="",0,IFERROR(VLOOKUP(C451,Settings!$A$2:$F$5,2,FALSE)+(E451*D451+F451)*VLOOKUP(C451,Settings!$A$2:$F$5,3,FALSE)/100+(E451*D451+F451)*VLOOKUP(C451,Settings!$A$2:$F$5,4,FALSE)/100+VLOOKUP(C451,Settings!$A$2:$F$5,5,FALSE)+VLOOKUP(C451,Settings!$A$2:$F$5,6,FALSE),0))</f>
        <v/>
      </c>
      <c r="J451" s="3">
        <f>IF(B451="","",IF(ISNA(MATCH(B451,Inventory!$A$2:$A$201,0)),"Check product",E451*D451+F451-I451-G451-H451))</f>
        <v/>
      </c>
      <c r="K451" s="4">
        <f>IF(OR(B451="",NOT(ISNUMBER(J451)),E451*D451+F451=0),"",J451/(E451*D451+F451))</f>
        <v/>
      </c>
    </row>
    <row r="452">
      <c r="A452" s="8" t="n"/>
      <c r="B452" s="6" t="n"/>
      <c r="C452" s="6" t="n"/>
      <c r="D452" s="6" t="n"/>
      <c r="E452" s="7" t="n"/>
      <c r="F452" s="7" t="n"/>
      <c r="G452" s="7" t="n"/>
      <c r="H452" s="3">
        <f>IFERROR(VLOOKUP(B452,Inventory!$A:$B,2,FALSE)*D452,0)</f>
        <v/>
      </c>
      <c r="I452" s="3">
        <f>IF(C452="",0,IFERROR(VLOOKUP(C452,Settings!$A$2:$F$5,2,FALSE)+(E452*D452+F452)*VLOOKUP(C452,Settings!$A$2:$F$5,3,FALSE)/100+(E452*D452+F452)*VLOOKUP(C452,Settings!$A$2:$F$5,4,FALSE)/100+VLOOKUP(C452,Settings!$A$2:$F$5,5,FALSE)+VLOOKUP(C452,Settings!$A$2:$F$5,6,FALSE),0))</f>
        <v/>
      </c>
      <c r="J452" s="3">
        <f>IF(B452="","",IF(ISNA(MATCH(B452,Inventory!$A$2:$A$201,0)),"Check product",E452*D452+F452-I452-G452-H452))</f>
        <v/>
      </c>
      <c r="K452" s="4">
        <f>IF(OR(B452="",NOT(ISNUMBER(J452)),E452*D452+F452=0),"",J452/(E452*D452+F452))</f>
        <v/>
      </c>
    </row>
    <row r="453">
      <c r="A453" s="8" t="n"/>
      <c r="B453" s="6" t="n"/>
      <c r="C453" s="6" t="n"/>
      <c r="D453" s="6" t="n"/>
      <c r="E453" s="7" t="n"/>
      <c r="F453" s="7" t="n"/>
      <c r="G453" s="7" t="n"/>
      <c r="H453" s="3">
        <f>IFERROR(VLOOKUP(B453,Inventory!$A:$B,2,FALSE)*D453,0)</f>
        <v/>
      </c>
      <c r="I453" s="3">
        <f>IF(C453="",0,IFERROR(VLOOKUP(C453,Settings!$A$2:$F$5,2,FALSE)+(E453*D453+F453)*VLOOKUP(C453,Settings!$A$2:$F$5,3,FALSE)/100+(E453*D453+F453)*VLOOKUP(C453,Settings!$A$2:$F$5,4,FALSE)/100+VLOOKUP(C453,Settings!$A$2:$F$5,5,FALSE)+VLOOKUP(C453,Settings!$A$2:$F$5,6,FALSE),0))</f>
        <v/>
      </c>
      <c r="J453" s="3">
        <f>IF(B453="","",IF(ISNA(MATCH(B453,Inventory!$A$2:$A$201,0)),"Check product",E453*D453+F453-I453-G453-H453))</f>
        <v/>
      </c>
      <c r="K453" s="4">
        <f>IF(OR(B453="",NOT(ISNUMBER(J453)),E453*D453+F453=0),"",J453/(E453*D453+F453))</f>
        <v/>
      </c>
    </row>
    <row r="454">
      <c r="A454" s="8" t="n"/>
      <c r="B454" s="6" t="n"/>
      <c r="C454" s="6" t="n"/>
      <c r="D454" s="6" t="n"/>
      <c r="E454" s="7" t="n"/>
      <c r="F454" s="7" t="n"/>
      <c r="G454" s="7" t="n"/>
      <c r="H454" s="3">
        <f>IFERROR(VLOOKUP(B454,Inventory!$A:$B,2,FALSE)*D454,0)</f>
        <v/>
      </c>
      <c r="I454" s="3">
        <f>IF(C454="",0,IFERROR(VLOOKUP(C454,Settings!$A$2:$F$5,2,FALSE)+(E454*D454+F454)*VLOOKUP(C454,Settings!$A$2:$F$5,3,FALSE)/100+(E454*D454+F454)*VLOOKUP(C454,Settings!$A$2:$F$5,4,FALSE)/100+VLOOKUP(C454,Settings!$A$2:$F$5,5,FALSE)+VLOOKUP(C454,Settings!$A$2:$F$5,6,FALSE),0))</f>
        <v/>
      </c>
      <c r="J454" s="3">
        <f>IF(B454="","",IF(ISNA(MATCH(B454,Inventory!$A$2:$A$201,0)),"Check product",E454*D454+F454-I454-G454-H454))</f>
        <v/>
      </c>
      <c r="K454" s="4">
        <f>IF(OR(B454="",NOT(ISNUMBER(J454)),E454*D454+F454=0),"",J454/(E454*D454+F454))</f>
        <v/>
      </c>
    </row>
    <row r="455">
      <c r="A455" s="8" t="n"/>
      <c r="B455" s="6" t="n"/>
      <c r="C455" s="6" t="n"/>
      <c r="D455" s="6" t="n"/>
      <c r="E455" s="7" t="n"/>
      <c r="F455" s="7" t="n"/>
      <c r="G455" s="7" t="n"/>
      <c r="H455" s="3">
        <f>IFERROR(VLOOKUP(B455,Inventory!$A:$B,2,FALSE)*D455,0)</f>
        <v/>
      </c>
      <c r="I455" s="3">
        <f>IF(C455="",0,IFERROR(VLOOKUP(C455,Settings!$A$2:$F$5,2,FALSE)+(E455*D455+F455)*VLOOKUP(C455,Settings!$A$2:$F$5,3,FALSE)/100+(E455*D455+F455)*VLOOKUP(C455,Settings!$A$2:$F$5,4,FALSE)/100+VLOOKUP(C455,Settings!$A$2:$F$5,5,FALSE)+VLOOKUP(C455,Settings!$A$2:$F$5,6,FALSE),0))</f>
        <v/>
      </c>
      <c r="J455" s="3">
        <f>IF(B455="","",IF(ISNA(MATCH(B455,Inventory!$A$2:$A$201,0)),"Check product",E455*D455+F455-I455-G455-H455))</f>
        <v/>
      </c>
      <c r="K455" s="4">
        <f>IF(OR(B455="",NOT(ISNUMBER(J455)),E455*D455+F455=0),"",J455/(E455*D455+F455))</f>
        <v/>
      </c>
    </row>
    <row r="456">
      <c r="A456" s="8" t="n"/>
      <c r="B456" s="6" t="n"/>
      <c r="C456" s="6" t="n"/>
      <c r="D456" s="6" t="n"/>
      <c r="E456" s="7" t="n"/>
      <c r="F456" s="7" t="n"/>
      <c r="G456" s="7" t="n"/>
      <c r="H456" s="3">
        <f>IFERROR(VLOOKUP(B456,Inventory!$A:$B,2,FALSE)*D456,0)</f>
        <v/>
      </c>
      <c r="I456" s="3">
        <f>IF(C456="",0,IFERROR(VLOOKUP(C456,Settings!$A$2:$F$5,2,FALSE)+(E456*D456+F456)*VLOOKUP(C456,Settings!$A$2:$F$5,3,FALSE)/100+(E456*D456+F456)*VLOOKUP(C456,Settings!$A$2:$F$5,4,FALSE)/100+VLOOKUP(C456,Settings!$A$2:$F$5,5,FALSE)+VLOOKUP(C456,Settings!$A$2:$F$5,6,FALSE),0))</f>
        <v/>
      </c>
      <c r="J456" s="3">
        <f>IF(B456="","",IF(ISNA(MATCH(B456,Inventory!$A$2:$A$201,0)),"Check product",E456*D456+F456-I456-G456-H456))</f>
        <v/>
      </c>
      <c r="K456" s="4">
        <f>IF(OR(B456="",NOT(ISNUMBER(J456)),E456*D456+F456=0),"",J456/(E456*D456+F456))</f>
        <v/>
      </c>
    </row>
    <row r="457">
      <c r="A457" s="8" t="n"/>
      <c r="B457" s="6" t="n"/>
      <c r="C457" s="6" t="n"/>
      <c r="D457" s="6" t="n"/>
      <c r="E457" s="7" t="n"/>
      <c r="F457" s="7" t="n"/>
      <c r="G457" s="7" t="n"/>
      <c r="H457" s="3">
        <f>IFERROR(VLOOKUP(B457,Inventory!$A:$B,2,FALSE)*D457,0)</f>
        <v/>
      </c>
      <c r="I457" s="3">
        <f>IF(C457="",0,IFERROR(VLOOKUP(C457,Settings!$A$2:$F$5,2,FALSE)+(E457*D457+F457)*VLOOKUP(C457,Settings!$A$2:$F$5,3,FALSE)/100+(E457*D457+F457)*VLOOKUP(C457,Settings!$A$2:$F$5,4,FALSE)/100+VLOOKUP(C457,Settings!$A$2:$F$5,5,FALSE)+VLOOKUP(C457,Settings!$A$2:$F$5,6,FALSE),0))</f>
        <v/>
      </c>
      <c r="J457" s="3">
        <f>IF(B457="","",IF(ISNA(MATCH(B457,Inventory!$A$2:$A$201,0)),"Check product",E457*D457+F457-I457-G457-H457))</f>
        <v/>
      </c>
      <c r="K457" s="4">
        <f>IF(OR(B457="",NOT(ISNUMBER(J457)),E457*D457+F457=0),"",J457/(E457*D457+F457))</f>
        <v/>
      </c>
    </row>
    <row r="458">
      <c r="A458" s="8" t="n"/>
      <c r="B458" s="6" t="n"/>
      <c r="C458" s="6" t="n"/>
      <c r="D458" s="6" t="n"/>
      <c r="E458" s="7" t="n"/>
      <c r="F458" s="7" t="n"/>
      <c r="G458" s="7" t="n"/>
      <c r="H458" s="3">
        <f>IFERROR(VLOOKUP(B458,Inventory!$A:$B,2,FALSE)*D458,0)</f>
        <v/>
      </c>
      <c r="I458" s="3">
        <f>IF(C458="",0,IFERROR(VLOOKUP(C458,Settings!$A$2:$F$5,2,FALSE)+(E458*D458+F458)*VLOOKUP(C458,Settings!$A$2:$F$5,3,FALSE)/100+(E458*D458+F458)*VLOOKUP(C458,Settings!$A$2:$F$5,4,FALSE)/100+VLOOKUP(C458,Settings!$A$2:$F$5,5,FALSE)+VLOOKUP(C458,Settings!$A$2:$F$5,6,FALSE),0))</f>
        <v/>
      </c>
      <c r="J458" s="3">
        <f>IF(B458="","",IF(ISNA(MATCH(B458,Inventory!$A$2:$A$201,0)),"Check product",E458*D458+F458-I458-G458-H458))</f>
        <v/>
      </c>
      <c r="K458" s="4">
        <f>IF(OR(B458="",NOT(ISNUMBER(J458)),E458*D458+F458=0),"",J458/(E458*D458+F458))</f>
        <v/>
      </c>
    </row>
    <row r="459">
      <c r="A459" s="8" t="n"/>
      <c r="B459" s="6" t="n"/>
      <c r="C459" s="6" t="n"/>
      <c r="D459" s="6" t="n"/>
      <c r="E459" s="7" t="n"/>
      <c r="F459" s="7" t="n"/>
      <c r="G459" s="7" t="n"/>
      <c r="H459" s="3">
        <f>IFERROR(VLOOKUP(B459,Inventory!$A:$B,2,FALSE)*D459,0)</f>
        <v/>
      </c>
      <c r="I459" s="3">
        <f>IF(C459="",0,IFERROR(VLOOKUP(C459,Settings!$A$2:$F$5,2,FALSE)+(E459*D459+F459)*VLOOKUP(C459,Settings!$A$2:$F$5,3,FALSE)/100+(E459*D459+F459)*VLOOKUP(C459,Settings!$A$2:$F$5,4,FALSE)/100+VLOOKUP(C459,Settings!$A$2:$F$5,5,FALSE)+VLOOKUP(C459,Settings!$A$2:$F$5,6,FALSE),0))</f>
        <v/>
      </c>
      <c r="J459" s="3">
        <f>IF(B459="","",IF(ISNA(MATCH(B459,Inventory!$A$2:$A$201,0)),"Check product",E459*D459+F459-I459-G459-H459))</f>
        <v/>
      </c>
      <c r="K459" s="4">
        <f>IF(OR(B459="",NOT(ISNUMBER(J459)),E459*D459+F459=0),"",J459/(E459*D459+F459))</f>
        <v/>
      </c>
    </row>
    <row r="460">
      <c r="A460" s="8" t="n"/>
      <c r="B460" s="6" t="n"/>
      <c r="C460" s="6" t="n"/>
      <c r="D460" s="6" t="n"/>
      <c r="E460" s="7" t="n"/>
      <c r="F460" s="7" t="n"/>
      <c r="G460" s="7" t="n"/>
      <c r="H460" s="3">
        <f>IFERROR(VLOOKUP(B460,Inventory!$A:$B,2,FALSE)*D460,0)</f>
        <v/>
      </c>
      <c r="I460" s="3">
        <f>IF(C460="",0,IFERROR(VLOOKUP(C460,Settings!$A$2:$F$5,2,FALSE)+(E460*D460+F460)*VLOOKUP(C460,Settings!$A$2:$F$5,3,FALSE)/100+(E460*D460+F460)*VLOOKUP(C460,Settings!$A$2:$F$5,4,FALSE)/100+VLOOKUP(C460,Settings!$A$2:$F$5,5,FALSE)+VLOOKUP(C460,Settings!$A$2:$F$5,6,FALSE),0))</f>
        <v/>
      </c>
      <c r="J460" s="3">
        <f>IF(B460="","",IF(ISNA(MATCH(B460,Inventory!$A$2:$A$201,0)),"Check product",E460*D460+F460-I460-G460-H460))</f>
        <v/>
      </c>
      <c r="K460" s="4">
        <f>IF(OR(B460="",NOT(ISNUMBER(J460)),E460*D460+F460=0),"",J460/(E460*D460+F460))</f>
        <v/>
      </c>
    </row>
    <row r="461">
      <c r="A461" s="8" t="n"/>
      <c r="B461" s="6" t="n"/>
      <c r="C461" s="6" t="n"/>
      <c r="D461" s="6" t="n"/>
      <c r="E461" s="7" t="n"/>
      <c r="F461" s="7" t="n"/>
      <c r="G461" s="7" t="n"/>
      <c r="H461" s="3">
        <f>IFERROR(VLOOKUP(B461,Inventory!$A:$B,2,FALSE)*D461,0)</f>
        <v/>
      </c>
      <c r="I461" s="3">
        <f>IF(C461="",0,IFERROR(VLOOKUP(C461,Settings!$A$2:$F$5,2,FALSE)+(E461*D461+F461)*VLOOKUP(C461,Settings!$A$2:$F$5,3,FALSE)/100+(E461*D461+F461)*VLOOKUP(C461,Settings!$A$2:$F$5,4,FALSE)/100+VLOOKUP(C461,Settings!$A$2:$F$5,5,FALSE)+VLOOKUP(C461,Settings!$A$2:$F$5,6,FALSE),0))</f>
        <v/>
      </c>
      <c r="J461" s="3">
        <f>IF(B461="","",IF(ISNA(MATCH(B461,Inventory!$A$2:$A$201,0)),"Check product",E461*D461+F461-I461-G461-H461))</f>
        <v/>
      </c>
      <c r="K461" s="4">
        <f>IF(OR(B461="",NOT(ISNUMBER(J461)),E461*D461+F461=0),"",J461/(E461*D461+F461))</f>
        <v/>
      </c>
    </row>
    <row r="462">
      <c r="A462" s="8" t="n"/>
      <c r="B462" s="6" t="n"/>
      <c r="C462" s="6" t="n"/>
      <c r="D462" s="6" t="n"/>
      <c r="E462" s="7" t="n"/>
      <c r="F462" s="7" t="n"/>
      <c r="G462" s="7" t="n"/>
      <c r="H462" s="3">
        <f>IFERROR(VLOOKUP(B462,Inventory!$A:$B,2,FALSE)*D462,0)</f>
        <v/>
      </c>
      <c r="I462" s="3">
        <f>IF(C462="",0,IFERROR(VLOOKUP(C462,Settings!$A$2:$F$5,2,FALSE)+(E462*D462+F462)*VLOOKUP(C462,Settings!$A$2:$F$5,3,FALSE)/100+(E462*D462+F462)*VLOOKUP(C462,Settings!$A$2:$F$5,4,FALSE)/100+VLOOKUP(C462,Settings!$A$2:$F$5,5,FALSE)+VLOOKUP(C462,Settings!$A$2:$F$5,6,FALSE),0))</f>
        <v/>
      </c>
      <c r="J462" s="3">
        <f>IF(B462="","",IF(ISNA(MATCH(B462,Inventory!$A$2:$A$201,0)),"Check product",E462*D462+F462-I462-G462-H462))</f>
        <v/>
      </c>
      <c r="K462" s="4">
        <f>IF(OR(B462="",NOT(ISNUMBER(J462)),E462*D462+F462=0),"",J462/(E462*D462+F462))</f>
        <v/>
      </c>
    </row>
    <row r="463">
      <c r="A463" s="8" t="n"/>
      <c r="B463" s="6" t="n"/>
      <c r="C463" s="6" t="n"/>
      <c r="D463" s="6" t="n"/>
      <c r="E463" s="7" t="n"/>
      <c r="F463" s="7" t="n"/>
      <c r="G463" s="7" t="n"/>
      <c r="H463" s="3">
        <f>IFERROR(VLOOKUP(B463,Inventory!$A:$B,2,FALSE)*D463,0)</f>
        <v/>
      </c>
      <c r="I463" s="3">
        <f>IF(C463="",0,IFERROR(VLOOKUP(C463,Settings!$A$2:$F$5,2,FALSE)+(E463*D463+F463)*VLOOKUP(C463,Settings!$A$2:$F$5,3,FALSE)/100+(E463*D463+F463)*VLOOKUP(C463,Settings!$A$2:$F$5,4,FALSE)/100+VLOOKUP(C463,Settings!$A$2:$F$5,5,FALSE)+VLOOKUP(C463,Settings!$A$2:$F$5,6,FALSE),0))</f>
        <v/>
      </c>
      <c r="J463" s="3">
        <f>IF(B463="","",IF(ISNA(MATCH(B463,Inventory!$A$2:$A$201,0)),"Check product",E463*D463+F463-I463-G463-H463))</f>
        <v/>
      </c>
      <c r="K463" s="4">
        <f>IF(OR(B463="",NOT(ISNUMBER(J463)),E463*D463+F463=0),"",J463/(E463*D463+F463))</f>
        <v/>
      </c>
    </row>
    <row r="464">
      <c r="A464" s="8" t="n"/>
      <c r="B464" s="6" t="n"/>
      <c r="C464" s="6" t="n"/>
      <c r="D464" s="6" t="n"/>
      <c r="E464" s="7" t="n"/>
      <c r="F464" s="7" t="n"/>
      <c r="G464" s="7" t="n"/>
      <c r="H464" s="3">
        <f>IFERROR(VLOOKUP(B464,Inventory!$A:$B,2,FALSE)*D464,0)</f>
        <v/>
      </c>
      <c r="I464" s="3">
        <f>IF(C464="",0,IFERROR(VLOOKUP(C464,Settings!$A$2:$F$5,2,FALSE)+(E464*D464+F464)*VLOOKUP(C464,Settings!$A$2:$F$5,3,FALSE)/100+(E464*D464+F464)*VLOOKUP(C464,Settings!$A$2:$F$5,4,FALSE)/100+VLOOKUP(C464,Settings!$A$2:$F$5,5,FALSE)+VLOOKUP(C464,Settings!$A$2:$F$5,6,FALSE),0))</f>
        <v/>
      </c>
      <c r="J464" s="3">
        <f>IF(B464="","",IF(ISNA(MATCH(B464,Inventory!$A$2:$A$201,0)),"Check product",E464*D464+F464-I464-G464-H464))</f>
        <v/>
      </c>
      <c r="K464" s="4">
        <f>IF(OR(B464="",NOT(ISNUMBER(J464)),E464*D464+F464=0),"",J464/(E464*D464+F464))</f>
        <v/>
      </c>
    </row>
    <row r="465">
      <c r="A465" s="8" t="n"/>
      <c r="B465" s="6" t="n"/>
      <c r="C465" s="6" t="n"/>
      <c r="D465" s="6" t="n"/>
      <c r="E465" s="7" t="n"/>
      <c r="F465" s="7" t="n"/>
      <c r="G465" s="7" t="n"/>
      <c r="H465" s="3">
        <f>IFERROR(VLOOKUP(B465,Inventory!$A:$B,2,FALSE)*D465,0)</f>
        <v/>
      </c>
      <c r="I465" s="3">
        <f>IF(C465="",0,IFERROR(VLOOKUP(C465,Settings!$A$2:$F$5,2,FALSE)+(E465*D465+F465)*VLOOKUP(C465,Settings!$A$2:$F$5,3,FALSE)/100+(E465*D465+F465)*VLOOKUP(C465,Settings!$A$2:$F$5,4,FALSE)/100+VLOOKUP(C465,Settings!$A$2:$F$5,5,FALSE)+VLOOKUP(C465,Settings!$A$2:$F$5,6,FALSE),0))</f>
        <v/>
      </c>
      <c r="J465" s="3">
        <f>IF(B465="","",IF(ISNA(MATCH(B465,Inventory!$A$2:$A$201,0)),"Check product",E465*D465+F465-I465-G465-H465))</f>
        <v/>
      </c>
      <c r="K465" s="4">
        <f>IF(OR(B465="",NOT(ISNUMBER(J465)),E465*D465+F465=0),"",J465/(E465*D465+F465))</f>
        <v/>
      </c>
    </row>
    <row r="466">
      <c r="A466" s="8" t="n"/>
      <c r="B466" s="6" t="n"/>
      <c r="C466" s="6" t="n"/>
      <c r="D466" s="6" t="n"/>
      <c r="E466" s="7" t="n"/>
      <c r="F466" s="7" t="n"/>
      <c r="G466" s="7" t="n"/>
      <c r="H466" s="3">
        <f>IFERROR(VLOOKUP(B466,Inventory!$A:$B,2,FALSE)*D466,0)</f>
        <v/>
      </c>
      <c r="I466" s="3">
        <f>IF(C466="",0,IFERROR(VLOOKUP(C466,Settings!$A$2:$F$5,2,FALSE)+(E466*D466+F466)*VLOOKUP(C466,Settings!$A$2:$F$5,3,FALSE)/100+(E466*D466+F466)*VLOOKUP(C466,Settings!$A$2:$F$5,4,FALSE)/100+VLOOKUP(C466,Settings!$A$2:$F$5,5,FALSE)+VLOOKUP(C466,Settings!$A$2:$F$5,6,FALSE),0))</f>
        <v/>
      </c>
      <c r="J466" s="3">
        <f>IF(B466="","",IF(ISNA(MATCH(B466,Inventory!$A$2:$A$201,0)),"Check product",E466*D466+F466-I466-G466-H466))</f>
        <v/>
      </c>
      <c r="K466" s="4">
        <f>IF(OR(B466="",NOT(ISNUMBER(J466)),E466*D466+F466=0),"",J466/(E466*D466+F466))</f>
        <v/>
      </c>
    </row>
    <row r="467">
      <c r="A467" s="8" t="n"/>
      <c r="B467" s="6" t="n"/>
      <c r="C467" s="6" t="n"/>
      <c r="D467" s="6" t="n"/>
      <c r="E467" s="7" t="n"/>
      <c r="F467" s="7" t="n"/>
      <c r="G467" s="7" t="n"/>
      <c r="H467" s="3">
        <f>IFERROR(VLOOKUP(B467,Inventory!$A:$B,2,FALSE)*D467,0)</f>
        <v/>
      </c>
      <c r="I467" s="3">
        <f>IF(C467="",0,IFERROR(VLOOKUP(C467,Settings!$A$2:$F$5,2,FALSE)+(E467*D467+F467)*VLOOKUP(C467,Settings!$A$2:$F$5,3,FALSE)/100+(E467*D467+F467)*VLOOKUP(C467,Settings!$A$2:$F$5,4,FALSE)/100+VLOOKUP(C467,Settings!$A$2:$F$5,5,FALSE)+VLOOKUP(C467,Settings!$A$2:$F$5,6,FALSE),0))</f>
        <v/>
      </c>
      <c r="J467" s="3">
        <f>IF(B467="","",IF(ISNA(MATCH(B467,Inventory!$A$2:$A$201,0)),"Check product",E467*D467+F467-I467-G467-H467))</f>
        <v/>
      </c>
      <c r="K467" s="4">
        <f>IF(OR(B467="",NOT(ISNUMBER(J467)),E467*D467+F467=0),"",J467/(E467*D467+F467))</f>
        <v/>
      </c>
    </row>
    <row r="468">
      <c r="A468" s="8" t="n"/>
      <c r="B468" s="6" t="n"/>
      <c r="C468" s="6" t="n"/>
      <c r="D468" s="6" t="n"/>
      <c r="E468" s="7" t="n"/>
      <c r="F468" s="7" t="n"/>
      <c r="G468" s="7" t="n"/>
      <c r="H468" s="3">
        <f>IFERROR(VLOOKUP(B468,Inventory!$A:$B,2,FALSE)*D468,0)</f>
        <v/>
      </c>
      <c r="I468" s="3">
        <f>IF(C468="",0,IFERROR(VLOOKUP(C468,Settings!$A$2:$F$5,2,FALSE)+(E468*D468+F468)*VLOOKUP(C468,Settings!$A$2:$F$5,3,FALSE)/100+(E468*D468+F468)*VLOOKUP(C468,Settings!$A$2:$F$5,4,FALSE)/100+VLOOKUP(C468,Settings!$A$2:$F$5,5,FALSE)+VLOOKUP(C468,Settings!$A$2:$F$5,6,FALSE),0))</f>
        <v/>
      </c>
      <c r="J468" s="3">
        <f>IF(B468="","",IF(ISNA(MATCH(B468,Inventory!$A$2:$A$201,0)),"Check product",E468*D468+F468-I468-G468-H468))</f>
        <v/>
      </c>
      <c r="K468" s="4">
        <f>IF(OR(B468="",NOT(ISNUMBER(J468)),E468*D468+F468=0),"",J468/(E468*D468+F468))</f>
        <v/>
      </c>
    </row>
    <row r="469">
      <c r="A469" s="8" t="n"/>
      <c r="B469" s="6" t="n"/>
      <c r="C469" s="6" t="n"/>
      <c r="D469" s="6" t="n"/>
      <c r="E469" s="7" t="n"/>
      <c r="F469" s="7" t="n"/>
      <c r="G469" s="7" t="n"/>
      <c r="H469" s="3">
        <f>IFERROR(VLOOKUP(B469,Inventory!$A:$B,2,FALSE)*D469,0)</f>
        <v/>
      </c>
      <c r="I469" s="3">
        <f>IF(C469="",0,IFERROR(VLOOKUP(C469,Settings!$A$2:$F$5,2,FALSE)+(E469*D469+F469)*VLOOKUP(C469,Settings!$A$2:$F$5,3,FALSE)/100+(E469*D469+F469)*VLOOKUP(C469,Settings!$A$2:$F$5,4,FALSE)/100+VLOOKUP(C469,Settings!$A$2:$F$5,5,FALSE)+VLOOKUP(C469,Settings!$A$2:$F$5,6,FALSE),0))</f>
        <v/>
      </c>
      <c r="J469" s="3">
        <f>IF(B469="","",IF(ISNA(MATCH(B469,Inventory!$A$2:$A$201,0)),"Check product",E469*D469+F469-I469-G469-H469))</f>
        <v/>
      </c>
      <c r="K469" s="4">
        <f>IF(OR(B469="",NOT(ISNUMBER(J469)),E469*D469+F469=0),"",J469/(E469*D469+F469))</f>
        <v/>
      </c>
    </row>
    <row r="470">
      <c r="A470" s="8" t="n"/>
      <c r="B470" s="6" t="n"/>
      <c r="C470" s="6" t="n"/>
      <c r="D470" s="6" t="n"/>
      <c r="E470" s="7" t="n"/>
      <c r="F470" s="7" t="n"/>
      <c r="G470" s="7" t="n"/>
      <c r="H470" s="3">
        <f>IFERROR(VLOOKUP(B470,Inventory!$A:$B,2,FALSE)*D470,0)</f>
        <v/>
      </c>
      <c r="I470" s="3">
        <f>IF(C470="",0,IFERROR(VLOOKUP(C470,Settings!$A$2:$F$5,2,FALSE)+(E470*D470+F470)*VLOOKUP(C470,Settings!$A$2:$F$5,3,FALSE)/100+(E470*D470+F470)*VLOOKUP(C470,Settings!$A$2:$F$5,4,FALSE)/100+VLOOKUP(C470,Settings!$A$2:$F$5,5,FALSE)+VLOOKUP(C470,Settings!$A$2:$F$5,6,FALSE),0))</f>
        <v/>
      </c>
      <c r="J470" s="3">
        <f>IF(B470="","",IF(ISNA(MATCH(B470,Inventory!$A$2:$A$201,0)),"Check product",E470*D470+F470-I470-G470-H470))</f>
        <v/>
      </c>
      <c r="K470" s="4">
        <f>IF(OR(B470="",NOT(ISNUMBER(J470)),E470*D470+F470=0),"",J470/(E470*D470+F470))</f>
        <v/>
      </c>
    </row>
    <row r="471">
      <c r="A471" s="8" t="n"/>
      <c r="B471" s="6" t="n"/>
      <c r="C471" s="6" t="n"/>
      <c r="D471" s="6" t="n"/>
      <c r="E471" s="7" t="n"/>
      <c r="F471" s="7" t="n"/>
      <c r="G471" s="7" t="n"/>
      <c r="H471" s="3">
        <f>IFERROR(VLOOKUP(B471,Inventory!$A:$B,2,FALSE)*D471,0)</f>
        <v/>
      </c>
      <c r="I471" s="3">
        <f>IF(C471="",0,IFERROR(VLOOKUP(C471,Settings!$A$2:$F$5,2,FALSE)+(E471*D471+F471)*VLOOKUP(C471,Settings!$A$2:$F$5,3,FALSE)/100+(E471*D471+F471)*VLOOKUP(C471,Settings!$A$2:$F$5,4,FALSE)/100+VLOOKUP(C471,Settings!$A$2:$F$5,5,FALSE)+VLOOKUP(C471,Settings!$A$2:$F$5,6,FALSE),0))</f>
        <v/>
      </c>
      <c r="J471" s="3">
        <f>IF(B471="","",IF(ISNA(MATCH(B471,Inventory!$A$2:$A$201,0)),"Check product",E471*D471+F471-I471-G471-H471))</f>
        <v/>
      </c>
      <c r="K471" s="4">
        <f>IF(OR(B471="",NOT(ISNUMBER(J471)),E471*D471+F471=0),"",J471/(E471*D471+F471))</f>
        <v/>
      </c>
    </row>
    <row r="472">
      <c r="A472" s="8" t="n"/>
      <c r="B472" s="6" t="n"/>
      <c r="C472" s="6" t="n"/>
      <c r="D472" s="6" t="n"/>
      <c r="E472" s="7" t="n"/>
      <c r="F472" s="7" t="n"/>
      <c r="G472" s="7" t="n"/>
      <c r="H472" s="3">
        <f>IFERROR(VLOOKUP(B472,Inventory!$A:$B,2,FALSE)*D472,0)</f>
        <v/>
      </c>
      <c r="I472" s="3">
        <f>IF(C472="",0,IFERROR(VLOOKUP(C472,Settings!$A$2:$F$5,2,FALSE)+(E472*D472+F472)*VLOOKUP(C472,Settings!$A$2:$F$5,3,FALSE)/100+(E472*D472+F472)*VLOOKUP(C472,Settings!$A$2:$F$5,4,FALSE)/100+VLOOKUP(C472,Settings!$A$2:$F$5,5,FALSE)+VLOOKUP(C472,Settings!$A$2:$F$5,6,FALSE),0))</f>
        <v/>
      </c>
      <c r="J472" s="3">
        <f>IF(B472="","",IF(ISNA(MATCH(B472,Inventory!$A$2:$A$201,0)),"Check product",E472*D472+F472-I472-G472-H472))</f>
        <v/>
      </c>
      <c r="K472" s="4">
        <f>IF(OR(B472="",NOT(ISNUMBER(J472)),E472*D472+F472=0),"",J472/(E472*D472+F472))</f>
        <v/>
      </c>
    </row>
    <row r="473">
      <c r="A473" s="8" t="n"/>
      <c r="B473" s="6" t="n"/>
      <c r="C473" s="6" t="n"/>
      <c r="D473" s="6" t="n"/>
      <c r="E473" s="7" t="n"/>
      <c r="F473" s="7" t="n"/>
      <c r="G473" s="7" t="n"/>
      <c r="H473" s="3">
        <f>IFERROR(VLOOKUP(B473,Inventory!$A:$B,2,FALSE)*D473,0)</f>
        <v/>
      </c>
      <c r="I473" s="3">
        <f>IF(C473="",0,IFERROR(VLOOKUP(C473,Settings!$A$2:$F$5,2,FALSE)+(E473*D473+F473)*VLOOKUP(C473,Settings!$A$2:$F$5,3,FALSE)/100+(E473*D473+F473)*VLOOKUP(C473,Settings!$A$2:$F$5,4,FALSE)/100+VLOOKUP(C473,Settings!$A$2:$F$5,5,FALSE)+VLOOKUP(C473,Settings!$A$2:$F$5,6,FALSE),0))</f>
        <v/>
      </c>
      <c r="J473" s="3">
        <f>IF(B473="","",IF(ISNA(MATCH(B473,Inventory!$A$2:$A$201,0)),"Check product",E473*D473+F473-I473-G473-H473))</f>
        <v/>
      </c>
      <c r="K473" s="4">
        <f>IF(OR(B473="",NOT(ISNUMBER(J473)),E473*D473+F473=0),"",J473/(E473*D473+F473))</f>
        <v/>
      </c>
    </row>
    <row r="474">
      <c r="A474" s="8" t="n"/>
      <c r="B474" s="6" t="n"/>
      <c r="C474" s="6" t="n"/>
      <c r="D474" s="6" t="n"/>
      <c r="E474" s="7" t="n"/>
      <c r="F474" s="7" t="n"/>
      <c r="G474" s="7" t="n"/>
      <c r="H474" s="3">
        <f>IFERROR(VLOOKUP(B474,Inventory!$A:$B,2,FALSE)*D474,0)</f>
        <v/>
      </c>
      <c r="I474" s="3">
        <f>IF(C474="",0,IFERROR(VLOOKUP(C474,Settings!$A$2:$F$5,2,FALSE)+(E474*D474+F474)*VLOOKUP(C474,Settings!$A$2:$F$5,3,FALSE)/100+(E474*D474+F474)*VLOOKUP(C474,Settings!$A$2:$F$5,4,FALSE)/100+VLOOKUP(C474,Settings!$A$2:$F$5,5,FALSE)+VLOOKUP(C474,Settings!$A$2:$F$5,6,FALSE),0))</f>
        <v/>
      </c>
      <c r="J474" s="3">
        <f>IF(B474="","",IF(ISNA(MATCH(B474,Inventory!$A$2:$A$201,0)),"Check product",E474*D474+F474-I474-G474-H474))</f>
        <v/>
      </c>
      <c r="K474" s="4">
        <f>IF(OR(B474="",NOT(ISNUMBER(J474)),E474*D474+F474=0),"",J474/(E474*D474+F474))</f>
        <v/>
      </c>
    </row>
    <row r="475">
      <c r="A475" s="8" t="n"/>
      <c r="B475" s="6" t="n"/>
      <c r="C475" s="6" t="n"/>
      <c r="D475" s="6" t="n"/>
      <c r="E475" s="7" t="n"/>
      <c r="F475" s="7" t="n"/>
      <c r="G475" s="7" t="n"/>
      <c r="H475" s="3">
        <f>IFERROR(VLOOKUP(B475,Inventory!$A:$B,2,FALSE)*D475,0)</f>
        <v/>
      </c>
      <c r="I475" s="3">
        <f>IF(C475="",0,IFERROR(VLOOKUP(C475,Settings!$A$2:$F$5,2,FALSE)+(E475*D475+F475)*VLOOKUP(C475,Settings!$A$2:$F$5,3,FALSE)/100+(E475*D475+F475)*VLOOKUP(C475,Settings!$A$2:$F$5,4,FALSE)/100+VLOOKUP(C475,Settings!$A$2:$F$5,5,FALSE)+VLOOKUP(C475,Settings!$A$2:$F$5,6,FALSE),0))</f>
        <v/>
      </c>
      <c r="J475" s="3">
        <f>IF(B475="","",IF(ISNA(MATCH(B475,Inventory!$A$2:$A$201,0)),"Check product",E475*D475+F475-I475-G475-H475))</f>
        <v/>
      </c>
      <c r="K475" s="4">
        <f>IF(OR(B475="",NOT(ISNUMBER(J475)),E475*D475+F475=0),"",J475/(E475*D475+F475))</f>
        <v/>
      </c>
    </row>
    <row r="476">
      <c r="A476" s="8" t="n"/>
      <c r="B476" s="6" t="n"/>
      <c r="C476" s="6" t="n"/>
      <c r="D476" s="6" t="n"/>
      <c r="E476" s="7" t="n"/>
      <c r="F476" s="7" t="n"/>
      <c r="G476" s="7" t="n"/>
      <c r="H476" s="3">
        <f>IFERROR(VLOOKUP(B476,Inventory!$A:$B,2,FALSE)*D476,0)</f>
        <v/>
      </c>
      <c r="I476" s="3">
        <f>IF(C476="",0,IFERROR(VLOOKUP(C476,Settings!$A$2:$F$5,2,FALSE)+(E476*D476+F476)*VLOOKUP(C476,Settings!$A$2:$F$5,3,FALSE)/100+(E476*D476+F476)*VLOOKUP(C476,Settings!$A$2:$F$5,4,FALSE)/100+VLOOKUP(C476,Settings!$A$2:$F$5,5,FALSE)+VLOOKUP(C476,Settings!$A$2:$F$5,6,FALSE),0))</f>
        <v/>
      </c>
      <c r="J476" s="3">
        <f>IF(B476="","",IF(ISNA(MATCH(B476,Inventory!$A$2:$A$201,0)),"Check product",E476*D476+F476-I476-G476-H476))</f>
        <v/>
      </c>
      <c r="K476" s="4">
        <f>IF(OR(B476="",NOT(ISNUMBER(J476)),E476*D476+F476=0),"",J476/(E476*D476+F476))</f>
        <v/>
      </c>
    </row>
    <row r="477">
      <c r="A477" s="8" t="n"/>
      <c r="B477" s="6" t="n"/>
      <c r="C477" s="6" t="n"/>
      <c r="D477" s="6" t="n"/>
      <c r="E477" s="7" t="n"/>
      <c r="F477" s="7" t="n"/>
      <c r="G477" s="7" t="n"/>
      <c r="H477" s="3">
        <f>IFERROR(VLOOKUP(B477,Inventory!$A:$B,2,FALSE)*D477,0)</f>
        <v/>
      </c>
      <c r="I477" s="3">
        <f>IF(C477="",0,IFERROR(VLOOKUP(C477,Settings!$A$2:$F$5,2,FALSE)+(E477*D477+F477)*VLOOKUP(C477,Settings!$A$2:$F$5,3,FALSE)/100+(E477*D477+F477)*VLOOKUP(C477,Settings!$A$2:$F$5,4,FALSE)/100+VLOOKUP(C477,Settings!$A$2:$F$5,5,FALSE)+VLOOKUP(C477,Settings!$A$2:$F$5,6,FALSE),0))</f>
        <v/>
      </c>
      <c r="J477" s="3">
        <f>IF(B477="","",IF(ISNA(MATCH(B477,Inventory!$A$2:$A$201,0)),"Check product",E477*D477+F477-I477-G477-H477))</f>
        <v/>
      </c>
      <c r="K477" s="4">
        <f>IF(OR(B477="",NOT(ISNUMBER(J477)),E477*D477+F477=0),"",J477/(E477*D477+F477))</f>
        <v/>
      </c>
    </row>
    <row r="478">
      <c r="A478" s="8" t="n"/>
      <c r="B478" s="6" t="n"/>
      <c r="C478" s="6" t="n"/>
      <c r="D478" s="6" t="n"/>
      <c r="E478" s="7" t="n"/>
      <c r="F478" s="7" t="n"/>
      <c r="G478" s="7" t="n"/>
      <c r="H478" s="3">
        <f>IFERROR(VLOOKUP(B478,Inventory!$A:$B,2,FALSE)*D478,0)</f>
        <v/>
      </c>
      <c r="I478" s="3">
        <f>IF(C478="",0,IFERROR(VLOOKUP(C478,Settings!$A$2:$F$5,2,FALSE)+(E478*D478+F478)*VLOOKUP(C478,Settings!$A$2:$F$5,3,FALSE)/100+(E478*D478+F478)*VLOOKUP(C478,Settings!$A$2:$F$5,4,FALSE)/100+VLOOKUP(C478,Settings!$A$2:$F$5,5,FALSE)+VLOOKUP(C478,Settings!$A$2:$F$5,6,FALSE),0))</f>
        <v/>
      </c>
      <c r="J478" s="3">
        <f>IF(B478="","",IF(ISNA(MATCH(B478,Inventory!$A$2:$A$201,0)),"Check product",E478*D478+F478-I478-G478-H478))</f>
        <v/>
      </c>
      <c r="K478" s="4">
        <f>IF(OR(B478="",NOT(ISNUMBER(J478)),E478*D478+F478=0),"",J478/(E478*D478+F478))</f>
        <v/>
      </c>
    </row>
    <row r="479">
      <c r="A479" s="8" t="n"/>
      <c r="B479" s="6" t="n"/>
      <c r="C479" s="6" t="n"/>
      <c r="D479" s="6" t="n"/>
      <c r="E479" s="7" t="n"/>
      <c r="F479" s="7" t="n"/>
      <c r="G479" s="7" t="n"/>
      <c r="H479" s="3">
        <f>IFERROR(VLOOKUP(B479,Inventory!$A:$B,2,FALSE)*D479,0)</f>
        <v/>
      </c>
      <c r="I479" s="3">
        <f>IF(C479="",0,IFERROR(VLOOKUP(C479,Settings!$A$2:$F$5,2,FALSE)+(E479*D479+F479)*VLOOKUP(C479,Settings!$A$2:$F$5,3,FALSE)/100+(E479*D479+F479)*VLOOKUP(C479,Settings!$A$2:$F$5,4,FALSE)/100+VLOOKUP(C479,Settings!$A$2:$F$5,5,FALSE)+VLOOKUP(C479,Settings!$A$2:$F$5,6,FALSE),0))</f>
        <v/>
      </c>
      <c r="J479" s="3">
        <f>IF(B479="","",IF(ISNA(MATCH(B479,Inventory!$A$2:$A$201,0)),"Check product",E479*D479+F479-I479-G479-H479))</f>
        <v/>
      </c>
      <c r="K479" s="4">
        <f>IF(OR(B479="",NOT(ISNUMBER(J479)),E479*D479+F479=0),"",J479/(E479*D479+F479))</f>
        <v/>
      </c>
    </row>
    <row r="480">
      <c r="A480" s="8" t="n"/>
      <c r="B480" s="6" t="n"/>
      <c r="C480" s="6" t="n"/>
      <c r="D480" s="6" t="n"/>
      <c r="E480" s="7" t="n"/>
      <c r="F480" s="7" t="n"/>
      <c r="G480" s="7" t="n"/>
      <c r="H480" s="3">
        <f>IFERROR(VLOOKUP(B480,Inventory!$A:$B,2,FALSE)*D480,0)</f>
        <v/>
      </c>
      <c r="I480" s="3">
        <f>IF(C480="",0,IFERROR(VLOOKUP(C480,Settings!$A$2:$F$5,2,FALSE)+(E480*D480+F480)*VLOOKUP(C480,Settings!$A$2:$F$5,3,FALSE)/100+(E480*D480+F480)*VLOOKUP(C480,Settings!$A$2:$F$5,4,FALSE)/100+VLOOKUP(C480,Settings!$A$2:$F$5,5,FALSE)+VLOOKUP(C480,Settings!$A$2:$F$5,6,FALSE),0))</f>
        <v/>
      </c>
      <c r="J480" s="3">
        <f>IF(B480="","",IF(ISNA(MATCH(B480,Inventory!$A$2:$A$201,0)),"Check product",E480*D480+F480-I480-G480-H480))</f>
        <v/>
      </c>
      <c r="K480" s="4">
        <f>IF(OR(B480="",NOT(ISNUMBER(J480)),E480*D480+F480=0),"",J480/(E480*D480+F480))</f>
        <v/>
      </c>
    </row>
    <row r="481">
      <c r="A481" s="8" t="n"/>
      <c r="B481" s="6" t="n"/>
      <c r="C481" s="6" t="n"/>
      <c r="D481" s="6" t="n"/>
      <c r="E481" s="7" t="n"/>
      <c r="F481" s="7" t="n"/>
      <c r="G481" s="7" t="n"/>
      <c r="H481" s="3">
        <f>IFERROR(VLOOKUP(B481,Inventory!$A:$B,2,FALSE)*D481,0)</f>
        <v/>
      </c>
      <c r="I481" s="3">
        <f>IF(C481="",0,IFERROR(VLOOKUP(C481,Settings!$A$2:$F$5,2,FALSE)+(E481*D481+F481)*VLOOKUP(C481,Settings!$A$2:$F$5,3,FALSE)/100+(E481*D481+F481)*VLOOKUP(C481,Settings!$A$2:$F$5,4,FALSE)/100+VLOOKUP(C481,Settings!$A$2:$F$5,5,FALSE)+VLOOKUP(C481,Settings!$A$2:$F$5,6,FALSE),0))</f>
        <v/>
      </c>
      <c r="J481" s="3">
        <f>IF(B481="","",IF(ISNA(MATCH(B481,Inventory!$A$2:$A$201,0)),"Check product",E481*D481+F481-I481-G481-H481))</f>
        <v/>
      </c>
      <c r="K481" s="4">
        <f>IF(OR(B481="",NOT(ISNUMBER(J481)),E481*D481+F481=0),"",J481/(E481*D481+F481))</f>
        <v/>
      </c>
    </row>
    <row r="482">
      <c r="A482" s="8" t="n"/>
      <c r="B482" s="6" t="n"/>
      <c r="C482" s="6" t="n"/>
      <c r="D482" s="6" t="n"/>
      <c r="E482" s="7" t="n"/>
      <c r="F482" s="7" t="n"/>
      <c r="G482" s="7" t="n"/>
      <c r="H482" s="3">
        <f>IFERROR(VLOOKUP(B482,Inventory!$A:$B,2,FALSE)*D482,0)</f>
        <v/>
      </c>
      <c r="I482" s="3">
        <f>IF(C482="",0,IFERROR(VLOOKUP(C482,Settings!$A$2:$F$5,2,FALSE)+(E482*D482+F482)*VLOOKUP(C482,Settings!$A$2:$F$5,3,FALSE)/100+(E482*D482+F482)*VLOOKUP(C482,Settings!$A$2:$F$5,4,FALSE)/100+VLOOKUP(C482,Settings!$A$2:$F$5,5,FALSE)+VLOOKUP(C482,Settings!$A$2:$F$5,6,FALSE),0))</f>
        <v/>
      </c>
      <c r="J482" s="3">
        <f>IF(B482="","",IF(ISNA(MATCH(B482,Inventory!$A$2:$A$201,0)),"Check product",E482*D482+F482-I482-G482-H482))</f>
        <v/>
      </c>
      <c r="K482" s="4">
        <f>IF(OR(B482="",NOT(ISNUMBER(J482)),E482*D482+F482=0),"",J482/(E482*D482+F482))</f>
        <v/>
      </c>
    </row>
    <row r="483">
      <c r="A483" s="8" t="n"/>
      <c r="B483" s="6" t="n"/>
      <c r="C483" s="6" t="n"/>
      <c r="D483" s="6" t="n"/>
      <c r="E483" s="7" t="n"/>
      <c r="F483" s="7" t="n"/>
      <c r="G483" s="7" t="n"/>
      <c r="H483" s="3">
        <f>IFERROR(VLOOKUP(B483,Inventory!$A:$B,2,FALSE)*D483,0)</f>
        <v/>
      </c>
      <c r="I483" s="3">
        <f>IF(C483="",0,IFERROR(VLOOKUP(C483,Settings!$A$2:$F$5,2,FALSE)+(E483*D483+F483)*VLOOKUP(C483,Settings!$A$2:$F$5,3,FALSE)/100+(E483*D483+F483)*VLOOKUP(C483,Settings!$A$2:$F$5,4,FALSE)/100+VLOOKUP(C483,Settings!$A$2:$F$5,5,FALSE)+VLOOKUP(C483,Settings!$A$2:$F$5,6,FALSE),0))</f>
        <v/>
      </c>
      <c r="J483" s="3">
        <f>IF(B483="","",IF(ISNA(MATCH(B483,Inventory!$A$2:$A$201,0)),"Check product",E483*D483+F483-I483-G483-H483))</f>
        <v/>
      </c>
      <c r="K483" s="4">
        <f>IF(OR(B483="",NOT(ISNUMBER(J483)),E483*D483+F483=0),"",J483/(E483*D483+F483))</f>
        <v/>
      </c>
    </row>
    <row r="484">
      <c r="A484" s="8" t="n"/>
      <c r="B484" s="6" t="n"/>
      <c r="C484" s="6" t="n"/>
      <c r="D484" s="6" t="n"/>
      <c r="E484" s="7" t="n"/>
      <c r="F484" s="7" t="n"/>
      <c r="G484" s="7" t="n"/>
      <c r="H484" s="3">
        <f>IFERROR(VLOOKUP(B484,Inventory!$A:$B,2,FALSE)*D484,0)</f>
        <v/>
      </c>
      <c r="I484" s="3">
        <f>IF(C484="",0,IFERROR(VLOOKUP(C484,Settings!$A$2:$F$5,2,FALSE)+(E484*D484+F484)*VLOOKUP(C484,Settings!$A$2:$F$5,3,FALSE)/100+(E484*D484+F484)*VLOOKUP(C484,Settings!$A$2:$F$5,4,FALSE)/100+VLOOKUP(C484,Settings!$A$2:$F$5,5,FALSE)+VLOOKUP(C484,Settings!$A$2:$F$5,6,FALSE),0))</f>
        <v/>
      </c>
      <c r="J484" s="3">
        <f>IF(B484="","",IF(ISNA(MATCH(B484,Inventory!$A$2:$A$201,0)),"Check product",E484*D484+F484-I484-G484-H484))</f>
        <v/>
      </c>
      <c r="K484" s="4">
        <f>IF(OR(B484="",NOT(ISNUMBER(J484)),E484*D484+F484=0),"",J484/(E484*D484+F484))</f>
        <v/>
      </c>
    </row>
    <row r="485">
      <c r="A485" s="8" t="n"/>
      <c r="B485" s="6" t="n"/>
      <c r="C485" s="6" t="n"/>
      <c r="D485" s="6" t="n"/>
      <c r="E485" s="7" t="n"/>
      <c r="F485" s="7" t="n"/>
      <c r="G485" s="7" t="n"/>
      <c r="H485" s="3">
        <f>IFERROR(VLOOKUP(B485,Inventory!$A:$B,2,FALSE)*D485,0)</f>
        <v/>
      </c>
      <c r="I485" s="3">
        <f>IF(C485="",0,IFERROR(VLOOKUP(C485,Settings!$A$2:$F$5,2,FALSE)+(E485*D485+F485)*VLOOKUP(C485,Settings!$A$2:$F$5,3,FALSE)/100+(E485*D485+F485)*VLOOKUP(C485,Settings!$A$2:$F$5,4,FALSE)/100+VLOOKUP(C485,Settings!$A$2:$F$5,5,FALSE)+VLOOKUP(C485,Settings!$A$2:$F$5,6,FALSE),0))</f>
        <v/>
      </c>
      <c r="J485" s="3">
        <f>IF(B485="","",IF(ISNA(MATCH(B485,Inventory!$A$2:$A$201,0)),"Check product",E485*D485+F485-I485-G485-H485))</f>
        <v/>
      </c>
      <c r="K485" s="4">
        <f>IF(OR(B485="",NOT(ISNUMBER(J485)),E485*D485+F485=0),"",J485/(E485*D485+F485))</f>
        <v/>
      </c>
    </row>
    <row r="486">
      <c r="A486" s="8" t="n"/>
      <c r="B486" s="6" t="n"/>
      <c r="C486" s="6" t="n"/>
      <c r="D486" s="6" t="n"/>
      <c r="E486" s="7" t="n"/>
      <c r="F486" s="7" t="n"/>
      <c r="G486" s="7" t="n"/>
      <c r="H486" s="3">
        <f>IFERROR(VLOOKUP(B486,Inventory!$A:$B,2,FALSE)*D486,0)</f>
        <v/>
      </c>
      <c r="I486" s="3">
        <f>IF(C486="",0,IFERROR(VLOOKUP(C486,Settings!$A$2:$F$5,2,FALSE)+(E486*D486+F486)*VLOOKUP(C486,Settings!$A$2:$F$5,3,FALSE)/100+(E486*D486+F486)*VLOOKUP(C486,Settings!$A$2:$F$5,4,FALSE)/100+VLOOKUP(C486,Settings!$A$2:$F$5,5,FALSE)+VLOOKUP(C486,Settings!$A$2:$F$5,6,FALSE),0))</f>
        <v/>
      </c>
      <c r="J486" s="3">
        <f>IF(B486="","",IF(ISNA(MATCH(B486,Inventory!$A$2:$A$201,0)),"Check product",E486*D486+F486-I486-G486-H486))</f>
        <v/>
      </c>
      <c r="K486" s="4">
        <f>IF(OR(B486="",NOT(ISNUMBER(J486)),E486*D486+F486=0),"",J486/(E486*D486+F486))</f>
        <v/>
      </c>
    </row>
    <row r="487">
      <c r="A487" s="8" t="n"/>
      <c r="B487" s="6" t="n"/>
      <c r="C487" s="6" t="n"/>
      <c r="D487" s="6" t="n"/>
      <c r="E487" s="7" t="n"/>
      <c r="F487" s="7" t="n"/>
      <c r="G487" s="7" t="n"/>
      <c r="H487" s="3">
        <f>IFERROR(VLOOKUP(B487,Inventory!$A:$B,2,FALSE)*D487,0)</f>
        <v/>
      </c>
      <c r="I487" s="3">
        <f>IF(C487="",0,IFERROR(VLOOKUP(C487,Settings!$A$2:$F$5,2,FALSE)+(E487*D487+F487)*VLOOKUP(C487,Settings!$A$2:$F$5,3,FALSE)/100+(E487*D487+F487)*VLOOKUP(C487,Settings!$A$2:$F$5,4,FALSE)/100+VLOOKUP(C487,Settings!$A$2:$F$5,5,FALSE)+VLOOKUP(C487,Settings!$A$2:$F$5,6,FALSE),0))</f>
        <v/>
      </c>
      <c r="J487" s="3">
        <f>IF(B487="","",IF(ISNA(MATCH(B487,Inventory!$A$2:$A$201,0)),"Check product",E487*D487+F487-I487-G487-H487))</f>
        <v/>
      </c>
      <c r="K487" s="4">
        <f>IF(OR(B487="",NOT(ISNUMBER(J487)),E487*D487+F487=0),"",J487/(E487*D487+F487))</f>
        <v/>
      </c>
    </row>
    <row r="488">
      <c r="A488" s="8" t="n"/>
      <c r="B488" s="6" t="n"/>
      <c r="C488" s="6" t="n"/>
      <c r="D488" s="6" t="n"/>
      <c r="E488" s="7" t="n"/>
      <c r="F488" s="7" t="n"/>
      <c r="G488" s="7" t="n"/>
      <c r="H488" s="3">
        <f>IFERROR(VLOOKUP(B488,Inventory!$A:$B,2,FALSE)*D488,0)</f>
        <v/>
      </c>
      <c r="I488" s="3">
        <f>IF(C488="",0,IFERROR(VLOOKUP(C488,Settings!$A$2:$F$5,2,FALSE)+(E488*D488+F488)*VLOOKUP(C488,Settings!$A$2:$F$5,3,FALSE)/100+(E488*D488+F488)*VLOOKUP(C488,Settings!$A$2:$F$5,4,FALSE)/100+VLOOKUP(C488,Settings!$A$2:$F$5,5,FALSE)+VLOOKUP(C488,Settings!$A$2:$F$5,6,FALSE),0))</f>
        <v/>
      </c>
      <c r="J488" s="3">
        <f>IF(B488="","",IF(ISNA(MATCH(B488,Inventory!$A$2:$A$201,0)),"Check product",E488*D488+F488-I488-G488-H488))</f>
        <v/>
      </c>
      <c r="K488" s="4">
        <f>IF(OR(B488="",NOT(ISNUMBER(J488)),E488*D488+F488=0),"",J488/(E488*D488+F488))</f>
        <v/>
      </c>
    </row>
    <row r="489">
      <c r="A489" s="8" t="n"/>
      <c r="B489" s="6" t="n"/>
      <c r="C489" s="6" t="n"/>
      <c r="D489" s="6" t="n"/>
      <c r="E489" s="7" t="n"/>
      <c r="F489" s="7" t="n"/>
      <c r="G489" s="7" t="n"/>
      <c r="H489" s="3">
        <f>IFERROR(VLOOKUP(B489,Inventory!$A:$B,2,FALSE)*D489,0)</f>
        <v/>
      </c>
      <c r="I489" s="3">
        <f>IF(C489="",0,IFERROR(VLOOKUP(C489,Settings!$A$2:$F$5,2,FALSE)+(E489*D489+F489)*VLOOKUP(C489,Settings!$A$2:$F$5,3,FALSE)/100+(E489*D489+F489)*VLOOKUP(C489,Settings!$A$2:$F$5,4,FALSE)/100+VLOOKUP(C489,Settings!$A$2:$F$5,5,FALSE)+VLOOKUP(C489,Settings!$A$2:$F$5,6,FALSE),0))</f>
        <v/>
      </c>
      <c r="J489" s="3">
        <f>IF(B489="","",IF(ISNA(MATCH(B489,Inventory!$A$2:$A$201,0)),"Check product",E489*D489+F489-I489-G489-H489))</f>
        <v/>
      </c>
      <c r="K489" s="4">
        <f>IF(OR(B489="",NOT(ISNUMBER(J489)),E489*D489+F489=0),"",J489/(E489*D489+F489))</f>
        <v/>
      </c>
    </row>
    <row r="490">
      <c r="A490" s="8" t="n"/>
      <c r="B490" s="6" t="n"/>
      <c r="C490" s="6" t="n"/>
      <c r="D490" s="6" t="n"/>
      <c r="E490" s="7" t="n"/>
      <c r="F490" s="7" t="n"/>
      <c r="G490" s="7" t="n"/>
      <c r="H490" s="3">
        <f>IFERROR(VLOOKUP(B490,Inventory!$A:$B,2,FALSE)*D490,0)</f>
        <v/>
      </c>
      <c r="I490" s="3">
        <f>IF(C490="",0,IFERROR(VLOOKUP(C490,Settings!$A$2:$F$5,2,FALSE)+(E490*D490+F490)*VLOOKUP(C490,Settings!$A$2:$F$5,3,FALSE)/100+(E490*D490+F490)*VLOOKUP(C490,Settings!$A$2:$F$5,4,FALSE)/100+VLOOKUP(C490,Settings!$A$2:$F$5,5,FALSE)+VLOOKUP(C490,Settings!$A$2:$F$5,6,FALSE),0))</f>
        <v/>
      </c>
      <c r="J490" s="3">
        <f>IF(B490="","",IF(ISNA(MATCH(B490,Inventory!$A$2:$A$201,0)),"Check product",E490*D490+F490-I490-G490-H490))</f>
        <v/>
      </c>
      <c r="K490" s="4">
        <f>IF(OR(B490="",NOT(ISNUMBER(J490)),E490*D490+F490=0),"",J490/(E490*D490+F490))</f>
        <v/>
      </c>
    </row>
    <row r="491">
      <c r="A491" s="8" t="n"/>
      <c r="B491" s="6" t="n"/>
      <c r="C491" s="6" t="n"/>
      <c r="D491" s="6" t="n"/>
      <c r="E491" s="7" t="n"/>
      <c r="F491" s="7" t="n"/>
      <c r="G491" s="7" t="n"/>
      <c r="H491" s="3">
        <f>IFERROR(VLOOKUP(B491,Inventory!$A:$B,2,FALSE)*D491,0)</f>
        <v/>
      </c>
      <c r="I491" s="3">
        <f>IF(C491="",0,IFERROR(VLOOKUP(C491,Settings!$A$2:$F$5,2,FALSE)+(E491*D491+F491)*VLOOKUP(C491,Settings!$A$2:$F$5,3,FALSE)/100+(E491*D491+F491)*VLOOKUP(C491,Settings!$A$2:$F$5,4,FALSE)/100+VLOOKUP(C491,Settings!$A$2:$F$5,5,FALSE)+VLOOKUP(C491,Settings!$A$2:$F$5,6,FALSE),0))</f>
        <v/>
      </c>
      <c r="J491" s="3">
        <f>IF(B491="","",IF(ISNA(MATCH(B491,Inventory!$A$2:$A$201,0)),"Check product",E491*D491+F491-I491-G491-H491))</f>
        <v/>
      </c>
      <c r="K491" s="4">
        <f>IF(OR(B491="",NOT(ISNUMBER(J491)),E491*D491+F491=0),"",J491/(E491*D491+F491))</f>
        <v/>
      </c>
    </row>
    <row r="492">
      <c r="A492" s="8" t="n"/>
      <c r="B492" s="6" t="n"/>
      <c r="C492" s="6" t="n"/>
      <c r="D492" s="6" t="n"/>
      <c r="E492" s="7" t="n"/>
      <c r="F492" s="7" t="n"/>
      <c r="G492" s="7" t="n"/>
      <c r="H492" s="3">
        <f>IFERROR(VLOOKUP(B492,Inventory!$A:$B,2,FALSE)*D492,0)</f>
        <v/>
      </c>
      <c r="I492" s="3">
        <f>IF(C492="",0,IFERROR(VLOOKUP(C492,Settings!$A$2:$F$5,2,FALSE)+(E492*D492+F492)*VLOOKUP(C492,Settings!$A$2:$F$5,3,FALSE)/100+(E492*D492+F492)*VLOOKUP(C492,Settings!$A$2:$F$5,4,FALSE)/100+VLOOKUP(C492,Settings!$A$2:$F$5,5,FALSE)+VLOOKUP(C492,Settings!$A$2:$F$5,6,FALSE),0))</f>
        <v/>
      </c>
      <c r="J492" s="3">
        <f>IF(B492="","",IF(ISNA(MATCH(B492,Inventory!$A$2:$A$201,0)),"Check product",E492*D492+F492-I492-G492-H492))</f>
        <v/>
      </c>
      <c r="K492" s="4">
        <f>IF(OR(B492="",NOT(ISNUMBER(J492)),E492*D492+F492=0),"",J492/(E492*D492+F492))</f>
        <v/>
      </c>
    </row>
    <row r="493">
      <c r="A493" s="8" t="n"/>
      <c r="B493" s="6" t="n"/>
      <c r="C493" s="6" t="n"/>
      <c r="D493" s="6" t="n"/>
      <c r="E493" s="7" t="n"/>
      <c r="F493" s="7" t="n"/>
      <c r="G493" s="7" t="n"/>
      <c r="H493" s="3">
        <f>IFERROR(VLOOKUP(B493,Inventory!$A:$B,2,FALSE)*D493,0)</f>
        <v/>
      </c>
      <c r="I493" s="3">
        <f>IF(C493="",0,IFERROR(VLOOKUP(C493,Settings!$A$2:$F$5,2,FALSE)+(E493*D493+F493)*VLOOKUP(C493,Settings!$A$2:$F$5,3,FALSE)/100+(E493*D493+F493)*VLOOKUP(C493,Settings!$A$2:$F$5,4,FALSE)/100+VLOOKUP(C493,Settings!$A$2:$F$5,5,FALSE)+VLOOKUP(C493,Settings!$A$2:$F$5,6,FALSE),0))</f>
        <v/>
      </c>
      <c r="J493" s="3">
        <f>IF(B493="","",IF(ISNA(MATCH(B493,Inventory!$A$2:$A$201,0)),"Check product",E493*D493+F493-I493-G493-H493))</f>
        <v/>
      </c>
      <c r="K493" s="4">
        <f>IF(OR(B493="",NOT(ISNUMBER(J493)),E493*D493+F493=0),"",J493/(E493*D493+F493))</f>
        <v/>
      </c>
    </row>
    <row r="494">
      <c r="A494" s="8" t="n"/>
      <c r="B494" s="6" t="n"/>
      <c r="C494" s="6" t="n"/>
      <c r="D494" s="6" t="n"/>
      <c r="E494" s="7" t="n"/>
      <c r="F494" s="7" t="n"/>
      <c r="G494" s="7" t="n"/>
      <c r="H494" s="3">
        <f>IFERROR(VLOOKUP(B494,Inventory!$A:$B,2,FALSE)*D494,0)</f>
        <v/>
      </c>
      <c r="I494" s="3">
        <f>IF(C494="",0,IFERROR(VLOOKUP(C494,Settings!$A$2:$F$5,2,FALSE)+(E494*D494+F494)*VLOOKUP(C494,Settings!$A$2:$F$5,3,FALSE)/100+(E494*D494+F494)*VLOOKUP(C494,Settings!$A$2:$F$5,4,FALSE)/100+VLOOKUP(C494,Settings!$A$2:$F$5,5,FALSE)+VLOOKUP(C494,Settings!$A$2:$F$5,6,FALSE),0))</f>
        <v/>
      </c>
      <c r="J494" s="3">
        <f>IF(B494="","",IF(ISNA(MATCH(B494,Inventory!$A$2:$A$201,0)),"Check product",E494*D494+F494-I494-G494-H494))</f>
        <v/>
      </c>
      <c r="K494" s="4">
        <f>IF(OR(B494="",NOT(ISNUMBER(J494)),E494*D494+F494=0),"",J494/(E494*D494+F494))</f>
        <v/>
      </c>
    </row>
    <row r="495">
      <c r="A495" s="8" t="n"/>
      <c r="B495" s="6" t="n"/>
      <c r="C495" s="6" t="n"/>
      <c r="D495" s="6" t="n"/>
      <c r="E495" s="7" t="n"/>
      <c r="F495" s="7" t="n"/>
      <c r="G495" s="7" t="n"/>
      <c r="H495" s="3">
        <f>IFERROR(VLOOKUP(B495,Inventory!$A:$B,2,FALSE)*D495,0)</f>
        <v/>
      </c>
      <c r="I495" s="3">
        <f>IF(C495="",0,IFERROR(VLOOKUP(C495,Settings!$A$2:$F$5,2,FALSE)+(E495*D495+F495)*VLOOKUP(C495,Settings!$A$2:$F$5,3,FALSE)/100+(E495*D495+F495)*VLOOKUP(C495,Settings!$A$2:$F$5,4,FALSE)/100+VLOOKUP(C495,Settings!$A$2:$F$5,5,FALSE)+VLOOKUP(C495,Settings!$A$2:$F$5,6,FALSE),0))</f>
        <v/>
      </c>
      <c r="J495" s="3">
        <f>IF(B495="","",IF(ISNA(MATCH(B495,Inventory!$A$2:$A$201,0)),"Check product",E495*D495+F495-I495-G495-H495))</f>
        <v/>
      </c>
      <c r="K495" s="4">
        <f>IF(OR(B495="",NOT(ISNUMBER(J495)),E495*D495+F495=0),"",J495/(E495*D495+F495))</f>
        <v/>
      </c>
    </row>
    <row r="496">
      <c r="A496" s="8" t="n"/>
      <c r="B496" s="6" t="n"/>
      <c r="C496" s="6" t="n"/>
      <c r="D496" s="6" t="n"/>
      <c r="E496" s="7" t="n"/>
      <c r="F496" s="7" t="n"/>
      <c r="G496" s="7" t="n"/>
      <c r="H496" s="3">
        <f>IFERROR(VLOOKUP(B496,Inventory!$A:$B,2,FALSE)*D496,0)</f>
        <v/>
      </c>
      <c r="I496" s="3">
        <f>IF(C496="",0,IFERROR(VLOOKUP(C496,Settings!$A$2:$F$5,2,FALSE)+(E496*D496+F496)*VLOOKUP(C496,Settings!$A$2:$F$5,3,FALSE)/100+(E496*D496+F496)*VLOOKUP(C496,Settings!$A$2:$F$5,4,FALSE)/100+VLOOKUP(C496,Settings!$A$2:$F$5,5,FALSE)+VLOOKUP(C496,Settings!$A$2:$F$5,6,FALSE),0))</f>
        <v/>
      </c>
      <c r="J496" s="3">
        <f>IF(B496="","",IF(ISNA(MATCH(B496,Inventory!$A$2:$A$201,0)),"Check product",E496*D496+F496-I496-G496-H496))</f>
        <v/>
      </c>
      <c r="K496" s="4">
        <f>IF(OR(B496="",NOT(ISNUMBER(J496)),E496*D496+F496=0),"",J496/(E496*D496+F496))</f>
        <v/>
      </c>
    </row>
    <row r="497">
      <c r="A497" s="8" t="n"/>
      <c r="B497" s="6" t="n"/>
      <c r="C497" s="6" t="n"/>
      <c r="D497" s="6" t="n"/>
      <c r="E497" s="7" t="n"/>
      <c r="F497" s="7" t="n"/>
      <c r="G497" s="7" t="n"/>
      <c r="H497" s="3">
        <f>IFERROR(VLOOKUP(B497,Inventory!$A:$B,2,FALSE)*D497,0)</f>
        <v/>
      </c>
      <c r="I497" s="3">
        <f>IF(C497="",0,IFERROR(VLOOKUP(C497,Settings!$A$2:$F$5,2,FALSE)+(E497*D497+F497)*VLOOKUP(C497,Settings!$A$2:$F$5,3,FALSE)/100+(E497*D497+F497)*VLOOKUP(C497,Settings!$A$2:$F$5,4,FALSE)/100+VLOOKUP(C497,Settings!$A$2:$F$5,5,FALSE)+VLOOKUP(C497,Settings!$A$2:$F$5,6,FALSE),0))</f>
        <v/>
      </c>
      <c r="J497" s="3">
        <f>IF(B497="","",IF(ISNA(MATCH(B497,Inventory!$A$2:$A$201,0)),"Check product",E497*D497+F497-I497-G497-H497))</f>
        <v/>
      </c>
      <c r="K497" s="4">
        <f>IF(OR(B497="",NOT(ISNUMBER(J497)),E497*D497+F497=0),"",J497/(E497*D497+F497))</f>
        <v/>
      </c>
    </row>
    <row r="498">
      <c r="A498" s="8" t="n"/>
      <c r="B498" s="6" t="n"/>
      <c r="C498" s="6" t="n"/>
      <c r="D498" s="6" t="n"/>
      <c r="E498" s="7" t="n"/>
      <c r="F498" s="7" t="n"/>
      <c r="G498" s="7" t="n"/>
      <c r="H498" s="3">
        <f>IFERROR(VLOOKUP(B498,Inventory!$A:$B,2,FALSE)*D498,0)</f>
        <v/>
      </c>
      <c r="I498" s="3">
        <f>IF(C498="",0,IFERROR(VLOOKUP(C498,Settings!$A$2:$F$5,2,FALSE)+(E498*D498+F498)*VLOOKUP(C498,Settings!$A$2:$F$5,3,FALSE)/100+(E498*D498+F498)*VLOOKUP(C498,Settings!$A$2:$F$5,4,FALSE)/100+VLOOKUP(C498,Settings!$A$2:$F$5,5,FALSE)+VLOOKUP(C498,Settings!$A$2:$F$5,6,FALSE),0))</f>
        <v/>
      </c>
      <c r="J498" s="3">
        <f>IF(B498="","",IF(ISNA(MATCH(B498,Inventory!$A$2:$A$201,0)),"Check product",E498*D498+F498-I498-G498-H498))</f>
        <v/>
      </c>
      <c r="K498" s="4">
        <f>IF(OR(B498="",NOT(ISNUMBER(J498)),E498*D498+F498=0),"",J498/(E498*D498+F498))</f>
        <v/>
      </c>
    </row>
    <row r="499">
      <c r="A499" s="8" t="n"/>
      <c r="B499" s="6" t="n"/>
      <c r="C499" s="6" t="n"/>
      <c r="D499" s="6" t="n"/>
      <c r="E499" s="7" t="n"/>
      <c r="F499" s="7" t="n"/>
      <c r="G499" s="7" t="n"/>
      <c r="H499" s="3">
        <f>IFERROR(VLOOKUP(B499,Inventory!$A:$B,2,FALSE)*D499,0)</f>
        <v/>
      </c>
      <c r="I499" s="3">
        <f>IF(C499="",0,IFERROR(VLOOKUP(C499,Settings!$A$2:$F$5,2,FALSE)+(E499*D499+F499)*VLOOKUP(C499,Settings!$A$2:$F$5,3,FALSE)/100+(E499*D499+F499)*VLOOKUP(C499,Settings!$A$2:$F$5,4,FALSE)/100+VLOOKUP(C499,Settings!$A$2:$F$5,5,FALSE)+VLOOKUP(C499,Settings!$A$2:$F$5,6,FALSE),0))</f>
        <v/>
      </c>
      <c r="J499" s="3">
        <f>IF(B499="","",IF(ISNA(MATCH(B499,Inventory!$A$2:$A$201,0)),"Check product",E499*D499+F499-I499-G499-H499))</f>
        <v/>
      </c>
      <c r="K499" s="4">
        <f>IF(OR(B499="",NOT(ISNUMBER(J499)),E499*D499+F499=0),"",J499/(E499*D499+F499))</f>
        <v/>
      </c>
    </row>
    <row r="500">
      <c r="A500" s="8" t="n"/>
      <c r="B500" s="6" t="n"/>
      <c r="C500" s="6" t="n"/>
      <c r="D500" s="6" t="n"/>
      <c r="E500" s="7" t="n"/>
      <c r="F500" s="7" t="n"/>
      <c r="G500" s="7" t="n"/>
      <c r="H500" s="3">
        <f>IFERROR(VLOOKUP(B500,Inventory!$A:$B,2,FALSE)*D500,0)</f>
        <v/>
      </c>
      <c r="I500" s="3">
        <f>IF(C500="",0,IFERROR(VLOOKUP(C500,Settings!$A$2:$F$5,2,FALSE)+(E500*D500+F500)*VLOOKUP(C500,Settings!$A$2:$F$5,3,FALSE)/100+(E500*D500+F500)*VLOOKUP(C500,Settings!$A$2:$F$5,4,FALSE)/100+VLOOKUP(C500,Settings!$A$2:$F$5,5,FALSE)+VLOOKUP(C500,Settings!$A$2:$F$5,6,FALSE),0))</f>
        <v/>
      </c>
      <c r="J500" s="3">
        <f>IF(B500="","",IF(ISNA(MATCH(B500,Inventory!$A$2:$A$201,0)),"Check product",E500*D500+F500-I500-G500-H500))</f>
        <v/>
      </c>
      <c r="K500" s="4">
        <f>IF(OR(B500="",NOT(ISNUMBER(J500)),E500*D500+F500=0),"",J500/(E500*D500+F500))</f>
        <v/>
      </c>
    </row>
    <row r="501">
      <c r="A501" s="8" t="n"/>
      <c r="B501" s="6" t="n"/>
      <c r="C501" s="6" t="n"/>
      <c r="D501" s="6" t="n"/>
      <c r="E501" s="7" t="n"/>
      <c r="F501" s="7" t="n"/>
      <c r="G501" s="7" t="n"/>
      <c r="H501" s="3">
        <f>IFERROR(VLOOKUP(B501,Inventory!$A:$B,2,FALSE)*D501,0)</f>
        <v/>
      </c>
      <c r="I501" s="3">
        <f>IF(C501="",0,IFERROR(VLOOKUP(C501,Settings!$A$2:$F$5,2,FALSE)+(E501*D501+F501)*VLOOKUP(C501,Settings!$A$2:$F$5,3,FALSE)/100+(E501*D501+F501)*VLOOKUP(C501,Settings!$A$2:$F$5,4,FALSE)/100+VLOOKUP(C501,Settings!$A$2:$F$5,5,FALSE)+VLOOKUP(C501,Settings!$A$2:$F$5,6,FALSE),0))</f>
        <v/>
      </c>
      <c r="J501" s="3">
        <f>IF(B501="","",IF(ISNA(MATCH(B501,Inventory!$A$2:$A$201,0)),"Check product",E501*D501+F501-I501-G501-H501))</f>
        <v/>
      </c>
      <c r="K501" s="4">
        <f>IF(OR(B501="",NOT(ISNUMBER(J501)),E501*D501+F501=0),"",J501/(E501*D501+F501))</f>
        <v/>
      </c>
    </row>
    <row r="502">
      <c r="A502" s="8" t="n"/>
      <c r="B502" s="6" t="n"/>
      <c r="C502" s="6" t="n"/>
      <c r="D502" s="6" t="n"/>
      <c r="E502" s="7" t="n"/>
      <c r="F502" s="7" t="n"/>
      <c r="G502" s="7" t="n"/>
      <c r="H502" s="3">
        <f>IFERROR(VLOOKUP(B502,Inventory!$A:$B,2,FALSE)*D502,0)</f>
        <v/>
      </c>
      <c r="I502" s="3">
        <f>IF(C502="",0,IFERROR(VLOOKUP(C502,Settings!$A$2:$F$5,2,FALSE)+(E502*D502+F502)*VLOOKUP(C502,Settings!$A$2:$F$5,3,FALSE)/100+(E502*D502+F502)*VLOOKUP(C502,Settings!$A$2:$F$5,4,FALSE)/100+VLOOKUP(C502,Settings!$A$2:$F$5,5,FALSE)+VLOOKUP(C502,Settings!$A$2:$F$5,6,FALSE),0))</f>
        <v/>
      </c>
      <c r="J502" s="3">
        <f>IF(B502="","",IF(ISNA(MATCH(B502,Inventory!$A$2:$A$201,0)),"Check product",E502*D502+F502-I502-G502-H502))</f>
        <v/>
      </c>
      <c r="K502" s="4">
        <f>IF(OR(B502="",NOT(ISNUMBER(J502)),E502*D502+F502=0),"",J502/(E502*D502+F502))</f>
        <v/>
      </c>
    </row>
    <row r="503">
      <c r="A503" s="8" t="n"/>
      <c r="B503" s="6" t="n"/>
      <c r="C503" s="6" t="n"/>
      <c r="D503" s="6" t="n"/>
      <c r="E503" s="7" t="n"/>
      <c r="F503" s="7" t="n"/>
      <c r="G503" s="7" t="n"/>
      <c r="H503" s="3">
        <f>IFERROR(VLOOKUP(B503,Inventory!$A:$B,2,FALSE)*D503,0)</f>
        <v/>
      </c>
      <c r="I503" s="3">
        <f>IF(C503="",0,IFERROR(VLOOKUP(C503,Settings!$A$2:$F$5,2,FALSE)+(E503*D503+F503)*VLOOKUP(C503,Settings!$A$2:$F$5,3,FALSE)/100+(E503*D503+F503)*VLOOKUP(C503,Settings!$A$2:$F$5,4,FALSE)/100+VLOOKUP(C503,Settings!$A$2:$F$5,5,FALSE)+VLOOKUP(C503,Settings!$A$2:$F$5,6,FALSE),0))</f>
        <v/>
      </c>
      <c r="J503" s="3">
        <f>IF(B503="","",IF(ISNA(MATCH(B503,Inventory!$A$2:$A$201,0)),"Check product",E503*D503+F503-I503-G503-H503))</f>
        <v/>
      </c>
      <c r="K503" s="4">
        <f>IF(OR(B503="",NOT(ISNUMBER(J503)),E503*D503+F503=0),"",J503/(E503*D503+F503))</f>
        <v/>
      </c>
    </row>
    <row r="504">
      <c r="A504" s="8" t="n"/>
      <c r="B504" s="6" t="n"/>
      <c r="C504" s="6" t="n"/>
      <c r="D504" s="6" t="n"/>
      <c r="E504" s="7" t="n"/>
      <c r="F504" s="7" t="n"/>
      <c r="G504" s="7" t="n"/>
      <c r="H504" s="3">
        <f>IFERROR(VLOOKUP(B504,Inventory!$A:$B,2,FALSE)*D504,0)</f>
        <v/>
      </c>
      <c r="I504" s="3">
        <f>IF(C504="",0,IFERROR(VLOOKUP(C504,Settings!$A$2:$F$5,2,FALSE)+(E504*D504+F504)*VLOOKUP(C504,Settings!$A$2:$F$5,3,FALSE)/100+(E504*D504+F504)*VLOOKUP(C504,Settings!$A$2:$F$5,4,FALSE)/100+VLOOKUP(C504,Settings!$A$2:$F$5,5,FALSE)+VLOOKUP(C504,Settings!$A$2:$F$5,6,FALSE),0))</f>
        <v/>
      </c>
      <c r="J504" s="3">
        <f>IF(B504="","",IF(ISNA(MATCH(B504,Inventory!$A$2:$A$201,0)),"Check product",E504*D504+F504-I504-G504-H504))</f>
        <v/>
      </c>
      <c r="K504" s="4">
        <f>IF(OR(B504="",NOT(ISNUMBER(J504)),E504*D504+F504=0),"",J504/(E504*D504+F504))</f>
        <v/>
      </c>
    </row>
    <row r="505">
      <c r="A505" s="8" t="n"/>
      <c r="B505" s="6" t="n"/>
      <c r="C505" s="6" t="n"/>
      <c r="D505" s="6" t="n"/>
      <c r="E505" s="7" t="n"/>
      <c r="F505" s="7" t="n"/>
      <c r="G505" s="7" t="n"/>
      <c r="H505" s="3">
        <f>IFERROR(VLOOKUP(B505,Inventory!$A:$B,2,FALSE)*D505,0)</f>
        <v/>
      </c>
      <c r="I505" s="3">
        <f>IF(C505="",0,IFERROR(VLOOKUP(C505,Settings!$A$2:$F$5,2,FALSE)+(E505*D505+F505)*VLOOKUP(C505,Settings!$A$2:$F$5,3,FALSE)/100+(E505*D505+F505)*VLOOKUP(C505,Settings!$A$2:$F$5,4,FALSE)/100+VLOOKUP(C505,Settings!$A$2:$F$5,5,FALSE)+VLOOKUP(C505,Settings!$A$2:$F$5,6,FALSE),0))</f>
        <v/>
      </c>
      <c r="J505" s="3">
        <f>IF(B505="","",IF(ISNA(MATCH(B505,Inventory!$A$2:$A$201,0)),"Check product",E505*D505+F505-I505-G505-H505))</f>
        <v/>
      </c>
      <c r="K505" s="4">
        <f>IF(OR(B505="",NOT(ISNUMBER(J505)),E505*D505+F505=0),"",J505/(E505*D505+F505))</f>
        <v/>
      </c>
    </row>
    <row r="506">
      <c r="A506" s="8" t="n"/>
      <c r="B506" s="6" t="n"/>
      <c r="C506" s="6" t="n"/>
      <c r="D506" s="6" t="n"/>
      <c r="E506" s="7" t="n"/>
      <c r="F506" s="7" t="n"/>
      <c r="G506" s="7" t="n"/>
      <c r="H506" s="3">
        <f>IFERROR(VLOOKUP(B506,Inventory!$A:$B,2,FALSE)*D506,0)</f>
        <v/>
      </c>
      <c r="I506" s="3">
        <f>IF(C506="",0,IFERROR(VLOOKUP(C506,Settings!$A$2:$F$5,2,FALSE)+(E506*D506+F506)*VLOOKUP(C506,Settings!$A$2:$F$5,3,FALSE)/100+(E506*D506+F506)*VLOOKUP(C506,Settings!$A$2:$F$5,4,FALSE)/100+VLOOKUP(C506,Settings!$A$2:$F$5,5,FALSE)+VLOOKUP(C506,Settings!$A$2:$F$5,6,FALSE),0))</f>
        <v/>
      </c>
      <c r="J506" s="3">
        <f>IF(B506="","",IF(ISNA(MATCH(B506,Inventory!$A$2:$A$201,0)),"Check product",E506*D506+F506-I506-G506-H506))</f>
        <v/>
      </c>
      <c r="K506" s="4">
        <f>IF(OR(B506="",NOT(ISNUMBER(J506)),E506*D506+F506=0),"",J506/(E506*D506+F506))</f>
        <v/>
      </c>
    </row>
    <row r="507">
      <c r="A507" s="8" t="n"/>
      <c r="B507" s="6" t="n"/>
      <c r="C507" s="6" t="n"/>
      <c r="D507" s="6" t="n"/>
      <c r="E507" s="7" t="n"/>
      <c r="F507" s="7" t="n"/>
      <c r="G507" s="7" t="n"/>
      <c r="H507" s="3">
        <f>IFERROR(VLOOKUP(B507,Inventory!$A:$B,2,FALSE)*D507,0)</f>
        <v/>
      </c>
      <c r="I507" s="3">
        <f>IF(C507="",0,IFERROR(VLOOKUP(C507,Settings!$A$2:$F$5,2,FALSE)+(E507*D507+F507)*VLOOKUP(C507,Settings!$A$2:$F$5,3,FALSE)/100+(E507*D507+F507)*VLOOKUP(C507,Settings!$A$2:$F$5,4,FALSE)/100+VLOOKUP(C507,Settings!$A$2:$F$5,5,FALSE)+VLOOKUP(C507,Settings!$A$2:$F$5,6,FALSE),0))</f>
        <v/>
      </c>
      <c r="J507" s="3">
        <f>IF(B507="","",IF(ISNA(MATCH(B507,Inventory!$A$2:$A$201,0)),"Check product",E507*D507+F507-I507-G507-H507))</f>
        <v/>
      </c>
      <c r="K507" s="4">
        <f>IF(OR(B507="",NOT(ISNUMBER(J507)),E507*D507+F507=0),"",J507/(E507*D507+F507))</f>
        <v/>
      </c>
    </row>
    <row r="508">
      <c r="A508" s="8" t="n"/>
      <c r="B508" s="6" t="n"/>
      <c r="C508" s="6" t="n"/>
      <c r="D508" s="6" t="n"/>
      <c r="E508" s="7" t="n"/>
      <c r="F508" s="7" t="n"/>
      <c r="G508" s="7" t="n"/>
      <c r="H508" s="3">
        <f>IFERROR(VLOOKUP(B508,Inventory!$A:$B,2,FALSE)*D508,0)</f>
        <v/>
      </c>
      <c r="I508" s="3">
        <f>IF(C508="",0,IFERROR(VLOOKUP(C508,Settings!$A$2:$F$5,2,FALSE)+(E508*D508+F508)*VLOOKUP(C508,Settings!$A$2:$F$5,3,FALSE)/100+(E508*D508+F508)*VLOOKUP(C508,Settings!$A$2:$F$5,4,FALSE)/100+VLOOKUP(C508,Settings!$A$2:$F$5,5,FALSE)+VLOOKUP(C508,Settings!$A$2:$F$5,6,FALSE),0))</f>
        <v/>
      </c>
      <c r="J508" s="3">
        <f>IF(B508="","",IF(ISNA(MATCH(B508,Inventory!$A$2:$A$201,0)),"Check product",E508*D508+F508-I508-G508-H508))</f>
        <v/>
      </c>
      <c r="K508" s="4">
        <f>IF(OR(B508="",NOT(ISNUMBER(J508)),E508*D508+F508=0),"",J508/(E508*D508+F508))</f>
        <v/>
      </c>
    </row>
    <row r="509">
      <c r="A509" s="8" t="n"/>
      <c r="B509" s="6" t="n"/>
      <c r="C509" s="6" t="n"/>
      <c r="D509" s="6" t="n"/>
      <c r="E509" s="7" t="n"/>
      <c r="F509" s="7" t="n"/>
      <c r="G509" s="7" t="n"/>
      <c r="H509" s="3">
        <f>IFERROR(VLOOKUP(B509,Inventory!$A:$B,2,FALSE)*D509,0)</f>
        <v/>
      </c>
      <c r="I509" s="3">
        <f>IF(C509="",0,IFERROR(VLOOKUP(C509,Settings!$A$2:$F$5,2,FALSE)+(E509*D509+F509)*VLOOKUP(C509,Settings!$A$2:$F$5,3,FALSE)/100+(E509*D509+F509)*VLOOKUP(C509,Settings!$A$2:$F$5,4,FALSE)/100+VLOOKUP(C509,Settings!$A$2:$F$5,5,FALSE)+VLOOKUP(C509,Settings!$A$2:$F$5,6,FALSE),0))</f>
        <v/>
      </c>
      <c r="J509" s="3">
        <f>IF(B509="","",IF(ISNA(MATCH(B509,Inventory!$A$2:$A$201,0)),"Check product",E509*D509+F509-I509-G509-H509))</f>
        <v/>
      </c>
      <c r="K509" s="4">
        <f>IF(OR(B509="",NOT(ISNUMBER(J509)),E509*D509+F509=0),"",J509/(E509*D509+F509))</f>
        <v/>
      </c>
    </row>
    <row r="510">
      <c r="A510" s="8" t="n"/>
      <c r="B510" s="6" t="n"/>
      <c r="C510" s="6" t="n"/>
      <c r="D510" s="6" t="n"/>
      <c r="E510" s="7" t="n"/>
      <c r="F510" s="7" t="n"/>
      <c r="G510" s="7" t="n"/>
      <c r="H510" s="3">
        <f>IFERROR(VLOOKUP(B510,Inventory!$A:$B,2,FALSE)*D510,0)</f>
        <v/>
      </c>
      <c r="I510" s="3">
        <f>IF(C510="",0,IFERROR(VLOOKUP(C510,Settings!$A$2:$F$5,2,FALSE)+(E510*D510+F510)*VLOOKUP(C510,Settings!$A$2:$F$5,3,FALSE)/100+(E510*D510+F510)*VLOOKUP(C510,Settings!$A$2:$F$5,4,FALSE)/100+VLOOKUP(C510,Settings!$A$2:$F$5,5,FALSE)+VLOOKUP(C510,Settings!$A$2:$F$5,6,FALSE),0))</f>
        <v/>
      </c>
      <c r="J510" s="3">
        <f>IF(B510="","",IF(ISNA(MATCH(B510,Inventory!$A$2:$A$201,0)),"Check product",E510*D510+F510-I510-G510-H510))</f>
        <v/>
      </c>
      <c r="K510" s="4">
        <f>IF(OR(B510="",NOT(ISNUMBER(J510)),E510*D510+F510=0),"",J510/(E510*D510+F510))</f>
        <v/>
      </c>
    </row>
    <row r="511">
      <c r="A511" s="8" t="n"/>
      <c r="B511" s="6" t="n"/>
      <c r="C511" s="6" t="n"/>
      <c r="D511" s="6" t="n"/>
      <c r="E511" s="7" t="n"/>
      <c r="F511" s="7" t="n"/>
      <c r="G511" s="7" t="n"/>
      <c r="H511" s="3">
        <f>IFERROR(VLOOKUP(B511,Inventory!$A:$B,2,FALSE)*D511,0)</f>
        <v/>
      </c>
      <c r="I511" s="3">
        <f>IF(C511="",0,IFERROR(VLOOKUP(C511,Settings!$A$2:$F$5,2,FALSE)+(E511*D511+F511)*VLOOKUP(C511,Settings!$A$2:$F$5,3,FALSE)/100+(E511*D511+F511)*VLOOKUP(C511,Settings!$A$2:$F$5,4,FALSE)/100+VLOOKUP(C511,Settings!$A$2:$F$5,5,FALSE)+VLOOKUP(C511,Settings!$A$2:$F$5,6,FALSE),0))</f>
        <v/>
      </c>
      <c r="J511" s="3">
        <f>IF(B511="","",IF(ISNA(MATCH(B511,Inventory!$A$2:$A$201,0)),"Check product",E511*D511+F511-I511-G511-H511))</f>
        <v/>
      </c>
      <c r="K511" s="4">
        <f>IF(OR(B511="",NOT(ISNUMBER(J511)),E511*D511+F511=0),"",J511/(E511*D511+F511))</f>
        <v/>
      </c>
    </row>
    <row r="512">
      <c r="A512" s="8" t="n"/>
      <c r="B512" s="6" t="n"/>
      <c r="C512" s="6" t="n"/>
      <c r="D512" s="6" t="n"/>
      <c r="E512" s="7" t="n"/>
      <c r="F512" s="7" t="n"/>
      <c r="G512" s="7" t="n"/>
      <c r="H512" s="3">
        <f>IFERROR(VLOOKUP(B512,Inventory!$A:$B,2,FALSE)*D512,0)</f>
        <v/>
      </c>
      <c r="I512" s="3">
        <f>IF(C512="",0,IFERROR(VLOOKUP(C512,Settings!$A$2:$F$5,2,FALSE)+(E512*D512+F512)*VLOOKUP(C512,Settings!$A$2:$F$5,3,FALSE)/100+(E512*D512+F512)*VLOOKUP(C512,Settings!$A$2:$F$5,4,FALSE)/100+VLOOKUP(C512,Settings!$A$2:$F$5,5,FALSE)+VLOOKUP(C512,Settings!$A$2:$F$5,6,FALSE),0))</f>
        <v/>
      </c>
      <c r="J512" s="3">
        <f>IF(B512="","",IF(ISNA(MATCH(B512,Inventory!$A$2:$A$201,0)),"Check product",E512*D512+F512-I512-G512-H512))</f>
        <v/>
      </c>
      <c r="K512" s="4">
        <f>IF(OR(B512="",NOT(ISNUMBER(J512)),E512*D512+F512=0),"",J512/(E512*D512+F512))</f>
        <v/>
      </c>
    </row>
    <row r="513">
      <c r="A513" s="8" t="n"/>
      <c r="B513" s="6" t="n"/>
      <c r="C513" s="6" t="n"/>
      <c r="D513" s="6" t="n"/>
      <c r="E513" s="7" t="n"/>
      <c r="F513" s="7" t="n"/>
      <c r="G513" s="7" t="n"/>
      <c r="H513" s="3">
        <f>IFERROR(VLOOKUP(B513,Inventory!$A:$B,2,FALSE)*D513,0)</f>
        <v/>
      </c>
      <c r="I513" s="3">
        <f>IF(C513="",0,IFERROR(VLOOKUP(C513,Settings!$A$2:$F$5,2,FALSE)+(E513*D513+F513)*VLOOKUP(C513,Settings!$A$2:$F$5,3,FALSE)/100+(E513*D513+F513)*VLOOKUP(C513,Settings!$A$2:$F$5,4,FALSE)/100+VLOOKUP(C513,Settings!$A$2:$F$5,5,FALSE)+VLOOKUP(C513,Settings!$A$2:$F$5,6,FALSE),0))</f>
        <v/>
      </c>
      <c r="J513" s="3">
        <f>IF(B513="","",IF(ISNA(MATCH(B513,Inventory!$A$2:$A$201,0)),"Check product",E513*D513+F513-I513-G513-H513))</f>
        <v/>
      </c>
      <c r="K513" s="4">
        <f>IF(OR(B513="",NOT(ISNUMBER(J513)),E513*D513+F513=0),"",J513/(E513*D513+F513))</f>
        <v/>
      </c>
    </row>
    <row r="514">
      <c r="A514" s="8" t="n"/>
      <c r="B514" s="6" t="n"/>
      <c r="C514" s="6" t="n"/>
      <c r="D514" s="6" t="n"/>
      <c r="E514" s="7" t="n"/>
      <c r="F514" s="7" t="n"/>
      <c r="G514" s="7" t="n"/>
      <c r="H514" s="3">
        <f>IFERROR(VLOOKUP(B514,Inventory!$A:$B,2,FALSE)*D514,0)</f>
        <v/>
      </c>
      <c r="I514" s="3">
        <f>IF(C514="",0,IFERROR(VLOOKUP(C514,Settings!$A$2:$F$5,2,FALSE)+(E514*D514+F514)*VLOOKUP(C514,Settings!$A$2:$F$5,3,FALSE)/100+(E514*D514+F514)*VLOOKUP(C514,Settings!$A$2:$F$5,4,FALSE)/100+VLOOKUP(C514,Settings!$A$2:$F$5,5,FALSE)+VLOOKUP(C514,Settings!$A$2:$F$5,6,FALSE),0))</f>
        <v/>
      </c>
      <c r="J514" s="3">
        <f>IF(B514="","",IF(ISNA(MATCH(B514,Inventory!$A$2:$A$201,0)),"Check product",E514*D514+F514-I514-G514-H514))</f>
        <v/>
      </c>
      <c r="K514" s="4">
        <f>IF(OR(B514="",NOT(ISNUMBER(J514)),E514*D514+F514=0),"",J514/(E514*D514+F514))</f>
        <v/>
      </c>
    </row>
    <row r="515">
      <c r="A515" s="8" t="n"/>
      <c r="B515" s="6" t="n"/>
      <c r="C515" s="6" t="n"/>
      <c r="D515" s="6" t="n"/>
      <c r="E515" s="7" t="n"/>
      <c r="F515" s="7" t="n"/>
      <c r="G515" s="7" t="n"/>
      <c r="H515" s="3">
        <f>IFERROR(VLOOKUP(B515,Inventory!$A:$B,2,FALSE)*D515,0)</f>
        <v/>
      </c>
      <c r="I515" s="3">
        <f>IF(C515="",0,IFERROR(VLOOKUP(C515,Settings!$A$2:$F$5,2,FALSE)+(E515*D515+F515)*VLOOKUP(C515,Settings!$A$2:$F$5,3,FALSE)/100+(E515*D515+F515)*VLOOKUP(C515,Settings!$A$2:$F$5,4,FALSE)/100+VLOOKUP(C515,Settings!$A$2:$F$5,5,FALSE)+VLOOKUP(C515,Settings!$A$2:$F$5,6,FALSE),0))</f>
        <v/>
      </c>
      <c r="J515" s="3">
        <f>IF(B515="","",IF(ISNA(MATCH(B515,Inventory!$A$2:$A$201,0)),"Check product",E515*D515+F515-I515-G515-H515))</f>
        <v/>
      </c>
      <c r="K515" s="4">
        <f>IF(OR(B515="",NOT(ISNUMBER(J515)),E515*D515+F515=0),"",J515/(E515*D515+F515))</f>
        <v/>
      </c>
    </row>
    <row r="516">
      <c r="A516" s="8" t="n"/>
      <c r="B516" s="6" t="n"/>
      <c r="C516" s="6" t="n"/>
      <c r="D516" s="6" t="n"/>
      <c r="E516" s="7" t="n"/>
      <c r="F516" s="7" t="n"/>
      <c r="G516" s="7" t="n"/>
      <c r="H516" s="3">
        <f>IFERROR(VLOOKUP(B516,Inventory!$A:$B,2,FALSE)*D516,0)</f>
        <v/>
      </c>
      <c r="I516" s="3">
        <f>IF(C516="",0,IFERROR(VLOOKUP(C516,Settings!$A$2:$F$5,2,FALSE)+(E516*D516+F516)*VLOOKUP(C516,Settings!$A$2:$F$5,3,FALSE)/100+(E516*D516+F516)*VLOOKUP(C516,Settings!$A$2:$F$5,4,FALSE)/100+VLOOKUP(C516,Settings!$A$2:$F$5,5,FALSE)+VLOOKUP(C516,Settings!$A$2:$F$5,6,FALSE),0))</f>
        <v/>
      </c>
      <c r="J516" s="3">
        <f>IF(B516="","",IF(ISNA(MATCH(B516,Inventory!$A$2:$A$201,0)),"Check product",E516*D516+F516-I516-G516-H516))</f>
        <v/>
      </c>
      <c r="K516" s="4">
        <f>IF(OR(B516="",NOT(ISNUMBER(J516)),E516*D516+F516=0),"",J516/(E516*D516+F516))</f>
        <v/>
      </c>
    </row>
    <row r="517">
      <c r="A517" s="8" t="n"/>
      <c r="B517" s="6" t="n"/>
      <c r="C517" s="6" t="n"/>
      <c r="D517" s="6" t="n"/>
      <c r="E517" s="7" t="n"/>
      <c r="F517" s="7" t="n"/>
      <c r="G517" s="7" t="n"/>
      <c r="H517" s="3">
        <f>IFERROR(VLOOKUP(B517,Inventory!$A:$B,2,FALSE)*D517,0)</f>
        <v/>
      </c>
      <c r="I517" s="3">
        <f>IF(C517="",0,IFERROR(VLOOKUP(C517,Settings!$A$2:$F$5,2,FALSE)+(E517*D517+F517)*VLOOKUP(C517,Settings!$A$2:$F$5,3,FALSE)/100+(E517*D517+F517)*VLOOKUP(C517,Settings!$A$2:$F$5,4,FALSE)/100+VLOOKUP(C517,Settings!$A$2:$F$5,5,FALSE)+VLOOKUP(C517,Settings!$A$2:$F$5,6,FALSE),0))</f>
        <v/>
      </c>
      <c r="J517" s="3">
        <f>IF(B517="","",IF(ISNA(MATCH(B517,Inventory!$A$2:$A$201,0)),"Check product",E517*D517+F517-I517-G517-H517))</f>
        <v/>
      </c>
      <c r="K517" s="4">
        <f>IF(OR(B517="",NOT(ISNUMBER(J517)),E517*D517+F517=0),"",J517/(E517*D517+F517))</f>
        <v/>
      </c>
    </row>
    <row r="518">
      <c r="A518" s="8" t="n"/>
      <c r="B518" s="6" t="n"/>
      <c r="C518" s="6" t="n"/>
      <c r="D518" s="6" t="n"/>
      <c r="E518" s="7" t="n"/>
      <c r="F518" s="7" t="n"/>
      <c r="G518" s="7" t="n"/>
      <c r="H518" s="3">
        <f>IFERROR(VLOOKUP(B518,Inventory!$A:$B,2,FALSE)*D518,0)</f>
        <v/>
      </c>
      <c r="I518" s="3">
        <f>IF(C518="",0,IFERROR(VLOOKUP(C518,Settings!$A$2:$F$5,2,FALSE)+(E518*D518+F518)*VLOOKUP(C518,Settings!$A$2:$F$5,3,FALSE)/100+(E518*D518+F518)*VLOOKUP(C518,Settings!$A$2:$F$5,4,FALSE)/100+VLOOKUP(C518,Settings!$A$2:$F$5,5,FALSE)+VLOOKUP(C518,Settings!$A$2:$F$5,6,FALSE),0))</f>
        <v/>
      </c>
      <c r="J518" s="3">
        <f>IF(B518="","",IF(ISNA(MATCH(B518,Inventory!$A$2:$A$201,0)),"Check product",E518*D518+F518-I518-G518-H518))</f>
        <v/>
      </c>
      <c r="K518" s="4">
        <f>IF(OR(B518="",NOT(ISNUMBER(J518)),E518*D518+F518=0),"",J518/(E518*D518+F518))</f>
        <v/>
      </c>
    </row>
    <row r="519">
      <c r="A519" s="8" t="n"/>
      <c r="B519" s="6" t="n"/>
      <c r="C519" s="6" t="n"/>
      <c r="D519" s="6" t="n"/>
      <c r="E519" s="7" t="n"/>
      <c r="F519" s="7" t="n"/>
      <c r="G519" s="7" t="n"/>
      <c r="H519" s="3">
        <f>IFERROR(VLOOKUP(B519,Inventory!$A:$B,2,FALSE)*D519,0)</f>
        <v/>
      </c>
      <c r="I519" s="3">
        <f>IF(C519="",0,IFERROR(VLOOKUP(C519,Settings!$A$2:$F$5,2,FALSE)+(E519*D519+F519)*VLOOKUP(C519,Settings!$A$2:$F$5,3,FALSE)/100+(E519*D519+F519)*VLOOKUP(C519,Settings!$A$2:$F$5,4,FALSE)/100+VLOOKUP(C519,Settings!$A$2:$F$5,5,FALSE)+VLOOKUP(C519,Settings!$A$2:$F$5,6,FALSE),0))</f>
        <v/>
      </c>
      <c r="J519" s="3">
        <f>IF(B519="","",IF(ISNA(MATCH(B519,Inventory!$A$2:$A$201,0)),"Check product",E519*D519+F519-I519-G519-H519))</f>
        <v/>
      </c>
      <c r="K519" s="4">
        <f>IF(OR(B519="",NOT(ISNUMBER(J519)),E519*D519+F519=0),"",J519/(E519*D519+F519))</f>
        <v/>
      </c>
    </row>
    <row r="520">
      <c r="A520" s="8" t="n"/>
      <c r="B520" s="6" t="n"/>
      <c r="C520" s="6" t="n"/>
      <c r="D520" s="6" t="n"/>
      <c r="E520" s="7" t="n"/>
      <c r="F520" s="7" t="n"/>
      <c r="G520" s="7" t="n"/>
      <c r="H520" s="3">
        <f>IFERROR(VLOOKUP(B520,Inventory!$A:$B,2,FALSE)*D520,0)</f>
        <v/>
      </c>
      <c r="I520" s="3">
        <f>IF(C520="",0,IFERROR(VLOOKUP(C520,Settings!$A$2:$F$5,2,FALSE)+(E520*D520+F520)*VLOOKUP(C520,Settings!$A$2:$F$5,3,FALSE)/100+(E520*D520+F520)*VLOOKUP(C520,Settings!$A$2:$F$5,4,FALSE)/100+VLOOKUP(C520,Settings!$A$2:$F$5,5,FALSE)+VLOOKUP(C520,Settings!$A$2:$F$5,6,FALSE),0))</f>
        <v/>
      </c>
      <c r="J520" s="3">
        <f>IF(B520="","",IF(ISNA(MATCH(B520,Inventory!$A$2:$A$201,0)),"Check product",E520*D520+F520-I520-G520-H520))</f>
        <v/>
      </c>
      <c r="K520" s="4">
        <f>IF(OR(B520="",NOT(ISNUMBER(J520)),E520*D520+F520=0),"",J520/(E520*D520+F520))</f>
        <v/>
      </c>
    </row>
    <row r="521">
      <c r="A521" s="8" t="n"/>
      <c r="B521" s="6" t="n"/>
      <c r="C521" s="6" t="n"/>
      <c r="D521" s="6" t="n"/>
      <c r="E521" s="7" t="n"/>
      <c r="F521" s="7" t="n"/>
      <c r="G521" s="7" t="n"/>
      <c r="H521" s="3">
        <f>IFERROR(VLOOKUP(B521,Inventory!$A:$B,2,FALSE)*D521,0)</f>
        <v/>
      </c>
      <c r="I521" s="3">
        <f>IF(C521="",0,IFERROR(VLOOKUP(C521,Settings!$A$2:$F$5,2,FALSE)+(E521*D521+F521)*VLOOKUP(C521,Settings!$A$2:$F$5,3,FALSE)/100+(E521*D521+F521)*VLOOKUP(C521,Settings!$A$2:$F$5,4,FALSE)/100+VLOOKUP(C521,Settings!$A$2:$F$5,5,FALSE)+VLOOKUP(C521,Settings!$A$2:$F$5,6,FALSE),0))</f>
        <v/>
      </c>
      <c r="J521" s="3">
        <f>IF(B521="","",IF(ISNA(MATCH(B521,Inventory!$A$2:$A$201,0)),"Check product",E521*D521+F521-I521-G521-H521))</f>
        <v/>
      </c>
      <c r="K521" s="4">
        <f>IF(OR(B521="",NOT(ISNUMBER(J521)),E521*D521+F521=0),"",J521/(E521*D521+F521))</f>
        <v/>
      </c>
    </row>
    <row r="522">
      <c r="A522" s="8" t="n"/>
      <c r="B522" s="6" t="n"/>
      <c r="C522" s="6" t="n"/>
      <c r="D522" s="6" t="n"/>
      <c r="E522" s="7" t="n"/>
      <c r="F522" s="7" t="n"/>
      <c r="G522" s="7" t="n"/>
      <c r="H522" s="3">
        <f>IFERROR(VLOOKUP(B522,Inventory!$A:$B,2,FALSE)*D522,0)</f>
        <v/>
      </c>
      <c r="I522" s="3">
        <f>IF(C522="",0,IFERROR(VLOOKUP(C522,Settings!$A$2:$F$5,2,FALSE)+(E522*D522+F522)*VLOOKUP(C522,Settings!$A$2:$F$5,3,FALSE)/100+(E522*D522+F522)*VLOOKUP(C522,Settings!$A$2:$F$5,4,FALSE)/100+VLOOKUP(C522,Settings!$A$2:$F$5,5,FALSE)+VLOOKUP(C522,Settings!$A$2:$F$5,6,FALSE),0))</f>
        <v/>
      </c>
      <c r="J522" s="3">
        <f>IF(B522="","",IF(ISNA(MATCH(B522,Inventory!$A$2:$A$201,0)),"Check product",E522*D522+F522-I522-G522-H522))</f>
        <v/>
      </c>
      <c r="K522" s="4">
        <f>IF(OR(B522="",NOT(ISNUMBER(J522)),E522*D522+F522=0),"",J522/(E522*D522+F522))</f>
        <v/>
      </c>
    </row>
    <row r="523">
      <c r="A523" s="8" t="n"/>
      <c r="B523" s="6" t="n"/>
      <c r="C523" s="6" t="n"/>
      <c r="D523" s="6" t="n"/>
      <c r="E523" s="7" t="n"/>
      <c r="F523" s="7" t="n"/>
      <c r="G523" s="7" t="n"/>
      <c r="H523" s="3">
        <f>IFERROR(VLOOKUP(B523,Inventory!$A:$B,2,FALSE)*D523,0)</f>
        <v/>
      </c>
      <c r="I523" s="3">
        <f>IF(C523="",0,IFERROR(VLOOKUP(C523,Settings!$A$2:$F$5,2,FALSE)+(E523*D523+F523)*VLOOKUP(C523,Settings!$A$2:$F$5,3,FALSE)/100+(E523*D523+F523)*VLOOKUP(C523,Settings!$A$2:$F$5,4,FALSE)/100+VLOOKUP(C523,Settings!$A$2:$F$5,5,FALSE)+VLOOKUP(C523,Settings!$A$2:$F$5,6,FALSE),0))</f>
        <v/>
      </c>
      <c r="J523" s="3">
        <f>IF(B523="","",IF(ISNA(MATCH(B523,Inventory!$A$2:$A$201,0)),"Check product",E523*D523+F523-I523-G523-H523))</f>
        <v/>
      </c>
      <c r="K523" s="4">
        <f>IF(OR(B523="",NOT(ISNUMBER(J523)),E523*D523+F523=0),"",J523/(E523*D523+F523))</f>
        <v/>
      </c>
    </row>
    <row r="524">
      <c r="A524" s="8" t="n"/>
      <c r="B524" s="6" t="n"/>
      <c r="C524" s="6" t="n"/>
      <c r="D524" s="6" t="n"/>
      <c r="E524" s="7" t="n"/>
      <c r="F524" s="7" t="n"/>
      <c r="G524" s="7" t="n"/>
      <c r="H524" s="3">
        <f>IFERROR(VLOOKUP(B524,Inventory!$A:$B,2,FALSE)*D524,0)</f>
        <v/>
      </c>
      <c r="I524" s="3">
        <f>IF(C524="",0,IFERROR(VLOOKUP(C524,Settings!$A$2:$F$5,2,FALSE)+(E524*D524+F524)*VLOOKUP(C524,Settings!$A$2:$F$5,3,FALSE)/100+(E524*D524+F524)*VLOOKUP(C524,Settings!$A$2:$F$5,4,FALSE)/100+VLOOKUP(C524,Settings!$A$2:$F$5,5,FALSE)+VLOOKUP(C524,Settings!$A$2:$F$5,6,FALSE),0))</f>
        <v/>
      </c>
      <c r="J524" s="3">
        <f>IF(B524="","",IF(ISNA(MATCH(B524,Inventory!$A$2:$A$201,0)),"Check product",E524*D524+F524-I524-G524-H524))</f>
        <v/>
      </c>
      <c r="K524" s="4">
        <f>IF(OR(B524="",NOT(ISNUMBER(J524)),E524*D524+F524=0),"",J524/(E524*D524+F524))</f>
        <v/>
      </c>
    </row>
    <row r="525">
      <c r="A525" s="8" t="n"/>
      <c r="B525" s="6" t="n"/>
      <c r="C525" s="6" t="n"/>
      <c r="D525" s="6" t="n"/>
      <c r="E525" s="7" t="n"/>
      <c r="F525" s="7" t="n"/>
      <c r="G525" s="7" t="n"/>
      <c r="H525" s="3">
        <f>IFERROR(VLOOKUP(B525,Inventory!$A:$B,2,FALSE)*D525,0)</f>
        <v/>
      </c>
      <c r="I525" s="3">
        <f>IF(C525="",0,IFERROR(VLOOKUP(C525,Settings!$A$2:$F$5,2,FALSE)+(E525*D525+F525)*VLOOKUP(C525,Settings!$A$2:$F$5,3,FALSE)/100+(E525*D525+F525)*VLOOKUP(C525,Settings!$A$2:$F$5,4,FALSE)/100+VLOOKUP(C525,Settings!$A$2:$F$5,5,FALSE)+VLOOKUP(C525,Settings!$A$2:$F$5,6,FALSE),0))</f>
        <v/>
      </c>
      <c r="J525" s="3">
        <f>IF(B525="","",IF(ISNA(MATCH(B525,Inventory!$A$2:$A$201,0)),"Check product",E525*D525+F525-I525-G525-H525))</f>
        <v/>
      </c>
      <c r="K525" s="4">
        <f>IF(OR(B525="",NOT(ISNUMBER(J525)),E525*D525+F525=0),"",J525/(E525*D525+F525))</f>
        <v/>
      </c>
    </row>
    <row r="526">
      <c r="A526" s="8" t="n"/>
      <c r="B526" s="6" t="n"/>
      <c r="C526" s="6" t="n"/>
      <c r="D526" s="6" t="n"/>
      <c r="E526" s="7" t="n"/>
      <c r="F526" s="7" t="n"/>
      <c r="G526" s="7" t="n"/>
      <c r="H526" s="3">
        <f>IFERROR(VLOOKUP(B526,Inventory!$A:$B,2,FALSE)*D526,0)</f>
        <v/>
      </c>
      <c r="I526" s="3">
        <f>IF(C526="",0,IFERROR(VLOOKUP(C526,Settings!$A$2:$F$5,2,FALSE)+(E526*D526+F526)*VLOOKUP(C526,Settings!$A$2:$F$5,3,FALSE)/100+(E526*D526+F526)*VLOOKUP(C526,Settings!$A$2:$F$5,4,FALSE)/100+VLOOKUP(C526,Settings!$A$2:$F$5,5,FALSE)+VLOOKUP(C526,Settings!$A$2:$F$5,6,FALSE),0))</f>
        <v/>
      </c>
      <c r="J526" s="3">
        <f>IF(B526="","",IF(ISNA(MATCH(B526,Inventory!$A$2:$A$201,0)),"Check product",E526*D526+F526-I526-G526-H526))</f>
        <v/>
      </c>
      <c r="K526" s="4">
        <f>IF(OR(B526="",NOT(ISNUMBER(J526)),E526*D526+F526=0),"",J526/(E526*D526+F526))</f>
        <v/>
      </c>
    </row>
    <row r="527">
      <c r="A527" s="8" t="n"/>
      <c r="B527" s="6" t="n"/>
      <c r="C527" s="6" t="n"/>
      <c r="D527" s="6" t="n"/>
      <c r="E527" s="7" t="n"/>
      <c r="F527" s="7" t="n"/>
      <c r="G527" s="7" t="n"/>
      <c r="H527" s="3">
        <f>IFERROR(VLOOKUP(B527,Inventory!$A:$B,2,FALSE)*D527,0)</f>
        <v/>
      </c>
      <c r="I527" s="3">
        <f>IF(C527="",0,IFERROR(VLOOKUP(C527,Settings!$A$2:$F$5,2,FALSE)+(E527*D527+F527)*VLOOKUP(C527,Settings!$A$2:$F$5,3,FALSE)/100+(E527*D527+F527)*VLOOKUP(C527,Settings!$A$2:$F$5,4,FALSE)/100+VLOOKUP(C527,Settings!$A$2:$F$5,5,FALSE)+VLOOKUP(C527,Settings!$A$2:$F$5,6,FALSE),0))</f>
        <v/>
      </c>
      <c r="J527" s="3">
        <f>IF(B527="","",IF(ISNA(MATCH(B527,Inventory!$A$2:$A$201,0)),"Check product",E527*D527+F527-I527-G527-H527))</f>
        <v/>
      </c>
      <c r="K527" s="4">
        <f>IF(OR(B527="",NOT(ISNUMBER(J527)),E527*D527+F527=0),"",J527/(E527*D527+F527))</f>
        <v/>
      </c>
    </row>
    <row r="528">
      <c r="A528" s="8" t="n"/>
      <c r="B528" s="6" t="n"/>
      <c r="C528" s="6" t="n"/>
      <c r="D528" s="6" t="n"/>
      <c r="E528" s="7" t="n"/>
      <c r="F528" s="7" t="n"/>
      <c r="G528" s="7" t="n"/>
      <c r="H528" s="3">
        <f>IFERROR(VLOOKUP(B528,Inventory!$A:$B,2,FALSE)*D528,0)</f>
        <v/>
      </c>
      <c r="I528" s="3">
        <f>IF(C528="",0,IFERROR(VLOOKUP(C528,Settings!$A$2:$F$5,2,FALSE)+(E528*D528+F528)*VLOOKUP(C528,Settings!$A$2:$F$5,3,FALSE)/100+(E528*D528+F528)*VLOOKUP(C528,Settings!$A$2:$F$5,4,FALSE)/100+VLOOKUP(C528,Settings!$A$2:$F$5,5,FALSE)+VLOOKUP(C528,Settings!$A$2:$F$5,6,FALSE),0))</f>
        <v/>
      </c>
      <c r="J528" s="3">
        <f>IF(B528="","",IF(ISNA(MATCH(B528,Inventory!$A$2:$A$201,0)),"Check product",E528*D528+F528-I528-G528-H528))</f>
        <v/>
      </c>
      <c r="K528" s="4">
        <f>IF(OR(B528="",NOT(ISNUMBER(J528)),E528*D528+F528=0),"",J528/(E528*D528+F528))</f>
        <v/>
      </c>
    </row>
    <row r="529">
      <c r="A529" s="8" t="n"/>
      <c r="B529" s="6" t="n"/>
      <c r="C529" s="6" t="n"/>
      <c r="D529" s="6" t="n"/>
      <c r="E529" s="7" t="n"/>
      <c r="F529" s="7" t="n"/>
      <c r="G529" s="7" t="n"/>
      <c r="H529" s="3">
        <f>IFERROR(VLOOKUP(B529,Inventory!$A:$B,2,FALSE)*D529,0)</f>
        <v/>
      </c>
      <c r="I529" s="3">
        <f>IF(C529="",0,IFERROR(VLOOKUP(C529,Settings!$A$2:$F$5,2,FALSE)+(E529*D529+F529)*VLOOKUP(C529,Settings!$A$2:$F$5,3,FALSE)/100+(E529*D529+F529)*VLOOKUP(C529,Settings!$A$2:$F$5,4,FALSE)/100+VLOOKUP(C529,Settings!$A$2:$F$5,5,FALSE)+VLOOKUP(C529,Settings!$A$2:$F$5,6,FALSE),0))</f>
        <v/>
      </c>
      <c r="J529" s="3">
        <f>IF(B529="","",IF(ISNA(MATCH(B529,Inventory!$A$2:$A$201,0)),"Check product",E529*D529+F529-I529-G529-H529))</f>
        <v/>
      </c>
      <c r="K529" s="4">
        <f>IF(OR(B529="",NOT(ISNUMBER(J529)),E529*D529+F529=0),"",J529/(E529*D529+F529))</f>
        <v/>
      </c>
    </row>
    <row r="530">
      <c r="A530" s="8" t="n"/>
      <c r="B530" s="6" t="n"/>
      <c r="C530" s="6" t="n"/>
      <c r="D530" s="6" t="n"/>
      <c r="E530" s="7" t="n"/>
      <c r="F530" s="7" t="n"/>
      <c r="G530" s="7" t="n"/>
      <c r="H530" s="3">
        <f>IFERROR(VLOOKUP(B530,Inventory!$A:$B,2,FALSE)*D530,0)</f>
        <v/>
      </c>
      <c r="I530" s="3">
        <f>IF(C530="",0,IFERROR(VLOOKUP(C530,Settings!$A$2:$F$5,2,FALSE)+(E530*D530+F530)*VLOOKUP(C530,Settings!$A$2:$F$5,3,FALSE)/100+(E530*D530+F530)*VLOOKUP(C530,Settings!$A$2:$F$5,4,FALSE)/100+VLOOKUP(C530,Settings!$A$2:$F$5,5,FALSE)+VLOOKUP(C530,Settings!$A$2:$F$5,6,FALSE),0))</f>
        <v/>
      </c>
      <c r="J530" s="3">
        <f>IF(B530="","",IF(ISNA(MATCH(B530,Inventory!$A$2:$A$201,0)),"Check product",E530*D530+F530-I530-G530-H530))</f>
        <v/>
      </c>
      <c r="K530" s="4">
        <f>IF(OR(B530="",NOT(ISNUMBER(J530)),E530*D530+F530=0),"",J530/(E530*D530+F530))</f>
        <v/>
      </c>
    </row>
    <row r="531">
      <c r="A531" s="8" t="n"/>
      <c r="B531" s="6" t="n"/>
      <c r="C531" s="6" t="n"/>
      <c r="D531" s="6" t="n"/>
      <c r="E531" s="7" t="n"/>
      <c r="F531" s="7" t="n"/>
      <c r="G531" s="7" t="n"/>
      <c r="H531" s="3">
        <f>IFERROR(VLOOKUP(B531,Inventory!$A:$B,2,FALSE)*D531,0)</f>
        <v/>
      </c>
      <c r="I531" s="3">
        <f>IF(C531="",0,IFERROR(VLOOKUP(C531,Settings!$A$2:$F$5,2,FALSE)+(E531*D531+F531)*VLOOKUP(C531,Settings!$A$2:$F$5,3,FALSE)/100+(E531*D531+F531)*VLOOKUP(C531,Settings!$A$2:$F$5,4,FALSE)/100+VLOOKUP(C531,Settings!$A$2:$F$5,5,FALSE)+VLOOKUP(C531,Settings!$A$2:$F$5,6,FALSE),0))</f>
        <v/>
      </c>
      <c r="J531" s="3">
        <f>IF(B531="","",IF(ISNA(MATCH(B531,Inventory!$A$2:$A$201,0)),"Check product",E531*D531+F531-I531-G531-H531))</f>
        <v/>
      </c>
      <c r="K531" s="4">
        <f>IF(OR(B531="",NOT(ISNUMBER(J531)),E531*D531+F531=0),"",J531/(E531*D531+F531))</f>
        <v/>
      </c>
    </row>
    <row r="532">
      <c r="A532" s="8" t="n"/>
      <c r="B532" s="6" t="n"/>
      <c r="C532" s="6" t="n"/>
      <c r="D532" s="6" t="n"/>
      <c r="E532" s="7" t="n"/>
      <c r="F532" s="7" t="n"/>
      <c r="G532" s="7" t="n"/>
      <c r="H532" s="3">
        <f>IFERROR(VLOOKUP(B532,Inventory!$A:$B,2,FALSE)*D532,0)</f>
        <v/>
      </c>
      <c r="I532" s="3">
        <f>IF(C532="",0,IFERROR(VLOOKUP(C532,Settings!$A$2:$F$5,2,FALSE)+(E532*D532+F532)*VLOOKUP(C532,Settings!$A$2:$F$5,3,FALSE)/100+(E532*D532+F532)*VLOOKUP(C532,Settings!$A$2:$F$5,4,FALSE)/100+VLOOKUP(C532,Settings!$A$2:$F$5,5,FALSE)+VLOOKUP(C532,Settings!$A$2:$F$5,6,FALSE),0))</f>
        <v/>
      </c>
      <c r="J532" s="3">
        <f>IF(B532="","",IF(ISNA(MATCH(B532,Inventory!$A$2:$A$201,0)),"Check product",E532*D532+F532-I532-G532-H532))</f>
        <v/>
      </c>
      <c r="K532" s="4">
        <f>IF(OR(B532="",NOT(ISNUMBER(J532)),E532*D532+F532=0),"",J532/(E532*D532+F532))</f>
        <v/>
      </c>
    </row>
    <row r="533">
      <c r="A533" s="8" t="n"/>
      <c r="B533" s="6" t="n"/>
      <c r="C533" s="6" t="n"/>
      <c r="D533" s="6" t="n"/>
      <c r="E533" s="7" t="n"/>
      <c r="F533" s="7" t="n"/>
      <c r="G533" s="7" t="n"/>
      <c r="H533" s="3">
        <f>IFERROR(VLOOKUP(B533,Inventory!$A:$B,2,FALSE)*D533,0)</f>
        <v/>
      </c>
      <c r="I533" s="3">
        <f>IF(C533="",0,IFERROR(VLOOKUP(C533,Settings!$A$2:$F$5,2,FALSE)+(E533*D533+F533)*VLOOKUP(C533,Settings!$A$2:$F$5,3,FALSE)/100+(E533*D533+F533)*VLOOKUP(C533,Settings!$A$2:$F$5,4,FALSE)/100+VLOOKUP(C533,Settings!$A$2:$F$5,5,FALSE)+VLOOKUP(C533,Settings!$A$2:$F$5,6,FALSE),0))</f>
        <v/>
      </c>
      <c r="J533" s="3">
        <f>IF(B533="","",IF(ISNA(MATCH(B533,Inventory!$A$2:$A$201,0)),"Check product",E533*D533+F533-I533-G533-H533))</f>
        <v/>
      </c>
      <c r="K533" s="4">
        <f>IF(OR(B533="",NOT(ISNUMBER(J533)),E533*D533+F533=0),"",J533/(E533*D533+F533))</f>
        <v/>
      </c>
    </row>
    <row r="534">
      <c r="A534" s="8" t="n"/>
      <c r="B534" s="6" t="n"/>
      <c r="C534" s="6" t="n"/>
      <c r="D534" s="6" t="n"/>
      <c r="E534" s="7" t="n"/>
      <c r="F534" s="7" t="n"/>
      <c r="G534" s="7" t="n"/>
      <c r="H534" s="3">
        <f>IFERROR(VLOOKUP(B534,Inventory!$A:$B,2,FALSE)*D534,0)</f>
        <v/>
      </c>
      <c r="I534" s="3">
        <f>IF(C534="",0,IFERROR(VLOOKUP(C534,Settings!$A$2:$F$5,2,FALSE)+(E534*D534+F534)*VLOOKUP(C534,Settings!$A$2:$F$5,3,FALSE)/100+(E534*D534+F534)*VLOOKUP(C534,Settings!$A$2:$F$5,4,FALSE)/100+VLOOKUP(C534,Settings!$A$2:$F$5,5,FALSE)+VLOOKUP(C534,Settings!$A$2:$F$5,6,FALSE),0))</f>
        <v/>
      </c>
      <c r="J534" s="3">
        <f>IF(B534="","",IF(ISNA(MATCH(B534,Inventory!$A$2:$A$201,0)),"Check product",E534*D534+F534-I534-G534-H534))</f>
        <v/>
      </c>
      <c r="K534" s="4">
        <f>IF(OR(B534="",NOT(ISNUMBER(J534)),E534*D534+F534=0),"",J534/(E534*D534+F534))</f>
        <v/>
      </c>
    </row>
    <row r="535">
      <c r="A535" s="8" t="n"/>
      <c r="B535" s="6" t="n"/>
      <c r="C535" s="6" t="n"/>
      <c r="D535" s="6" t="n"/>
      <c r="E535" s="7" t="n"/>
      <c r="F535" s="7" t="n"/>
      <c r="G535" s="7" t="n"/>
      <c r="H535" s="3">
        <f>IFERROR(VLOOKUP(B535,Inventory!$A:$B,2,FALSE)*D535,0)</f>
        <v/>
      </c>
      <c r="I535" s="3">
        <f>IF(C535="",0,IFERROR(VLOOKUP(C535,Settings!$A$2:$F$5,2,FALSE)+(E535*D535+F535)*VLOOKUP(C535,Settings!$A$2:$F$5,3,FALSE)/100+(E535*D535+F535)*VLOOKUP(C535,Settings!$A$2:$F$5,4,FALSE)/100+VLOOKUP(C535,Settings!$A$2:$F$5,5,FALSE)+VLOOKUP(C535,Settings!$A$2:$F$5,6,FALSE),0))</f>
        <v/>
      </c>
      <c r="J535" s="3">
        <f>IF(B535="","",IF(ISNA(MATCH(B535,Inventory!$A$2:$A$201,0)),"Check product",E535*D535+F535-I535-G535-H535))</f>
        <v/>
      </c>
      <c r="K535" s="4">
        <f>IF(OR(B535="",NOT(ISNUMBER(J535)),E535*D535+F535=0),"",J535/(E535*D535+F535))</f>
        <v/>
      </c>
    </row>
    <row r="536">
      <c r="A536" s="8" t="n"/>
      <c r="B536" s="6" t="n"/>
      <c r="C536" s="6" t="n"/>
      <c r="D536" s="6" t="n"/>
      <c r="E536" s="7" t="n"/>
      <c r="F536" s="7" t="n"/>
      <c r="G536" s="7" t="n"/>
      <c r="H536" s="3">
        <f>IFERROR(VLOOKUP(B536,Inventory!$A:$B,2,FALSE)*D536,0)</f>
        <v/>
      </c>
      <c r="I536" s="3">
        <f>IF(C536="",0,IFERROR(VLOOKUP(C536,Settings!$A$2:$F$5,2,FALSE)+(E536*D536+F536)*VLOOKUP(C536,Settings!$A$2:$F$5,3,FALSE)/100+(E536*D536+F536)*VLOOKUP(C536,Settings!$A$2:$F$5,4,FALSE)/100+VLOOKUP(C536,Settings!$A$2:$F$5,5,FALSE)+VLOOKUP(C536,Settings!$A$2:$F$5,6,FALSE),0))</f>
        <v/>
      </c>
      <c r="J536" s="3">
        <f>IF(B536="","",IF(ISNA(MATCH(B536,Inventory!$A$2:$A$201,0)),"Check product",E536*D536+F536-I536-G536-H536))</f>
        <v/>
      </c>
      <c r="K536" s="4">
        <f>IF(OR(B536="",NOT(ISNUMBER(J536)),E536*D536+F536=0),"",J536/(E536*D536+F536))</f>
        <v/>
      </c>
    </row>
    <row r="537">
      <c r="A537" s="8" t="n"/>
      <c r="B537" s="6" t="n"/>
      <c r="C537" s="6" t="n"/>
      <c r="D537" s="6" t="n"/>
      <c r="E537" s="7" t="n"/>
      <c r="F537" s="7" t="n"/>
      <c r="G537" s="7" t="n"/>
      <c r="H537" s="3">
        <f>IFERROR(VLOOKUP(B537,Inventory!$A:$B,2,FALSE)*D537,0)</f>
        <v/>
      </c>
      <c r="I537" s="3">
        <f>IF(C537="",0,IFERROR(VLOOKUP(C537,Settings!$A$2:$F$5,2,FALSE)+(E537*D537+F537)*VLOOKUP(C537,Settings!$A$2:$F$5,3,FALSE)/100+(E537*D537+F537)*VLOOKUP(C537,Settings!$A$2:$F$5,4,FALSE)/100+VLOOKUP(C537,Settings!$A$2:$F$5,5,FALSE)+VLOOKUP(C537,Settings!$A$2:$F$5,6,FALSE),0))</f>
        <v/>
      </c>
      <c r="J537" s="3">
        <f>IF(B537="","",IF(ISNA(MATCH(B537,Inventory!$A$2:$A$201,0)),"Check product",E537*D537+F537-I537-G537-H537))</f>
        <v/>
      </c>
      <c r="K537" s="4">
        <f>IF(OR(B537="",NOT(ISNUMBER(J537)),E537*D537+F537=0),"",J537/(E537*D537+F537))</f>
        <v/>
      </c>
    </row>
    <row r="538">
      <c r="A538" s="8" t="n"/>
      <c r="B538" s="6" t="n"/>
      <c r="C538" s="6" t="n"/>
      <c r="D538" s="6" t="n"/>
      <c r="E538" s="7" t="n"/>
      <c r="F538" s="7" t="n"/>
      <c r="G538" s="7" t="n"/>
      <c r="H538" s="3">
        <f>IFERROR(VLOOKUP(B538,Inventory!$A:$B,2,FALSE)*D538,0)</f>
        <v/>
      </c>
      <c r="I538" s="3">
        <f>IF(C538="",0,IFERROR(VLOOKUP(C538,Settings!$A$2:$F$5,2,FALSE)+(E538*D538+F538)*VLOOKUP(C538,Settings!$A$2:$F$5,3,FALSE)/100+(E538*D538+F538)*VLOOKUP(C538,Settings!$A$2:$F$5,4,FALSE)/100+VLOOKUP(C538,Settings!$A$2:$F$5,5,FALSE)+VLOOKUP(C538,Settings!$A$2:$F$5,6,FALSE),0))</f>
        <v/>
      </c>
      <c r="J538" s="3">
        <f>IF(B538="","",IF(ISNA(MATCH(B538,Inventory!$A$2:$A$201,0)),"Check product",E538*D538+F538-I538-G538-H538))</f>
        <v/>
      </c>
      <c r="K538" s="4">
        <f>IF(OR(B538="",NOT(ISNUMBER(J538)),E538*D538+F538=0),"",J538/(E538*D538+F538))</f>
        <v/>
      </c>
    </row>
    <row r="539">
      <c r="A539" s="8" t="n"/>
      <c r="B539" s="6" t="n"/>
      <c r="C539" s="6" t="n"/>
      <c r="D539" s="6" t="n"/>
      <c r="E539" s="7" t="n"/>
      <c r="F539" s="7" t="n"/>
      <c r="G539" s="7" t="n"/>
      <c r="H539" s="3">
        <f>IFERROR(VLOOKUP(B539,Inventory!$A:$B,2,FALSE)*D539,0)</f>
        <v/>
      </c>
      <c r="I539" s="3">
        <f>IF(C539="",0,IFERROR(VLOOKUP(C539,Settings!$A$2:$F$5,2,FALSE)+(E539*D539+F539)*VLOOKUP(C539,Settings!$A$2:$F$5,3,FALSE)/100+(E539*D539+F539)*VLOOKUP(C539,Settings!$A$2:$F$5,4,FALSE)/100+VLOOKUP(C539,Settings!$A$2:$F$5,5,FALSE)+VLOOKUP(C539,Settings!$A$2:$F$5,6,FALSE),0))</f>
        <v/>
      </c>
      <c r="J539" s="3">
        <f>IF(B539="","",IF(ISNA(MATCH(B539,Inventory!$A$2:$A$201,0)),"Check product",E539*D539+F539-I539-G539-H539))</f>
        <v/>
      </c>
      <c r="K539" s="4">
        <f>IF(OR(B539="",NOT(ISNUMBER(J539)),E539*D539+F539=0),"",J539/(E539*D539+F539))</f>
        <v/>
      </c>
    </row>
    <row r="540">
      <c r="A540" s="8" t="n"/>
      <c r="B540" s="6" t="n"/>
      <c r="C540" s="6" t="n"/>
      <c r="D540" s="6" t="n"/>
      <c r="E540" s="7" t="n"/>
      <c r="F540" s="7" t="n"/>
      <c r="G540" s="7" t="n"/>
      <c r="H540" s="3">
        <f>IFERROR(VLOOKUP(B540,Inventory!$A:$B,2,FALSE)*D540,0)</f>
        <v/>
      </c>
      <c r="I540" s="3">
        <f>IF(C540="",0,IFERROR(VLOOKUP(C540,Settings!$A$2:$F$5,2,FALSE)+(E540*D540+F540)*VLOOKUP(C540,Settings!$A$2:$F$5,3,FALSE)/100+(E540*D540+F540)*VLOOKUP(C540,Settings!$A$2:$F$5,4,FALSE)/100+VLOOKUP(C540,Settings!$A$2:$F$5,5,FALSE)+VLOOKUP(C540,Settings!$A$2:$F$5,6,FALSE),0))</f>
        <v/>
      </c>
      <c r="J540" s="3">
        <f>IF(B540="","",IF(ISNA(MATCH(B540,Inventory!$A$2:$A$201,0)),"Check product",E540*D540+F540-I540-G540-H540))</f>
        <v/>
      </c>
      <c r="K540" s="4">
        <f>IF(OR(B540="",NOT(ISNUMBER(J540)),E540*D540+F540=0),"",J540/(E540*D540+F540))</f>
        <v/>
      </c>
    </row>
    <row r="541">
      <c r="A541" s="8" t="n"/>
      <c r="B541" s="6" t="n"/>
      <c r="C541" s="6" t="n"/>
      <c r="D541" s="6" t="n"/>
      <c r="E541" s="7" t="n"/>
      <c r="F541" s="7" t="n"/>
      <c r="G541" s="7" t="n"/>
      <c r="H541" s="3">
        <f>IFERROR(VLOOKUP(B541,Inventory!$A:$B,2,FALSE)*D541,0)</f>
        <v/>
      </c>
      <c r="I541" s="3">
        <f>IF(C541="",0,IFERROR(VLOOKUP(C541,Settings!$A$2:$F$5,2,FALSE)+(E541*D541+F541)*VLOOKUP(C541,Settings!$A$2:$F$5,3,FALSE)/100+(E541*D541+F541)*VLOOKUP(C541,Settings!$A$2:$F$5,4,FALSE)/100+VLOOKUP(C541,Settings!$A$2:$F$5,5,FALSE)+VLOOKUP(C541,Settings!$A$2:$F$5,6,FALSE),0))</f>
        <v/>
      </c>
      <c r="J541" s="3">
        <f>IF(B541="","",IF(ISNA(MATCH(B541,Inventory!$A$2:$A$201,0)),"Check product",E541*D541+F541-I541-G541-H541))</f>
        <v/>
      </c>
      <c r="K541" s="4">
        <f>IF(OR(B541="",NOT(ISNUMBER(J541)),E541*D541+F541=0),"",J541/(E541*D541+F541))</f>
        <v/>
      </c>
    </row>
    <row r="542">
      <c r="A542" s="8" t="n"/>
      <c r="B542" s="6" t="n"/>
      <c r="C542" s="6" t="n"/>
      <c r="D542" s="6" t="n"/>
      <c r="E542" s="7" t="n"/>
      <c r="F542" s="7" t="n"/>
      <c r="G542" s="7" t="n"/>
      <c r="H542" s="3">
        <f>IFERROR(VLOOKUP(B542,Inventory!$A:$B,2,FALSE)*D542,0)</f>
        <v/>
      </c>
      <c r="I542" s="3">
        <f>IF(C542="",0,IFERROR(VLOOKUP(C542,Settings!$A$2:$F$5,2,FALSE)+(E542*D542+F542)*VLOOKUP(C542,Settings!$A$2:$F$5,3,FALSE)/100+(E542*D542+F542)*VLOOKUP(C542,Settings!$A$2:$F$5,4,FALSE)/100+VLOOKUP(C542,Settings!$A$2:$F$5,5,FALSE)+VLOOKUP(C542,Settings!$A$2:$F$5,6,FALSE),0))</f>
        <v/>
      </c>
      <c r="J542" s="3">
        <f>IF(B542="","",IF(ISNA(MATCH(B542,Inventory!$A$2:$A$201,0)),"Check product",E542*D542+F542-I542-G542-H542))</f>
        <v/>
      </c>
      <c r="K542" s="4">
        <f>IF(OR(B542="",NOT(ISNUMBER(J542)),E542*D542+F542=0),"",J542/(E542*D542+F542))</f>
        <v/>
      </c>
    </row>
    <row r="543">
      <c r="A543" s="8" t="n"/>
      <c r="B543" s="6" t="n"/>
      <c r="C543" s="6" t="n"/>
      <c r="D543" s="6" t="n"/>
      <c r="E543" s="7" t="n"/>
      <c r="F543" s="7" t="n"/>
      <c r="G543" s="7" t="n"/>
      <c r="H543" s="3">
        <f>IFERROR(VLOOKUP(B543,Inventory!$A:$B,2,FALSE)*D543,0)</f>
        <v/>
      </c>
      <c r="I543" s="3">
        <f>IF(C543="",0,IFERROR(VLOOKUP(C543,Settings!$A$2:$F$5,2,FALSE)+(E543*D543+F543)*VLOOKUP(C543,Settings!$A$2:$F$5,3,FALSE)/100+(E543*D543+F543)*VLOOKUP(C543,Settings!$A$2:$F$5,4,FALSE)/100+VLOOKUP(C543,Settings!$A$2:$F$5,5,FALSE)+VLOOKUP(C543,Settings!$A$2:$F$5,6,FALSE),0))</f>
        <v/>
      </c>
      <c r="J543" s="3">
        <f>IF(B543="","",IF(ISNA(MATCH(B543,Inventory!$A$2:$A$201,0)),"Check product",E543*D543+F543-I543-G543-H543))</f>
        <v/>
      </c>
      <c r="K543" s="4">
        <f>IF(OR(B543="",NOT(ISNUMBER(J543)),E543*D543+F543=0),"",J543/(E543*D543+F543))</f>
        <v/>
      </c>
    </row>
    <row r="544">
      <c r="A544" s="8" t="n"/>
      <c r="B544" s="6" t="n"/>
      <c r="C544" s="6" t="n"/>
      <c r="D544" s="6" t="n"/>
      <c r="E544" s="7" t="n"/>
      <c r="F544" s="7" t="n"/>
      <c r="G544" s="7" t="n"/>
      <c r="H544" s="3">
        <f>IFERROR(VLOOKUP(B544,Inventory!$A:$B,2,FALSE)*D544,0)</f>
        <v/>
      </c>
      <c r="I544" s="3">
        <f>IF(C544="",0,IFERROR(VLOOKUP(C544,Settings!$A$2:$F$5,2,FALSE)+(E544*D544+F544)*VLOOKUP(C544,Settings!$A$2:$F$5,3,FALSE)/100+(E544*D544+F544)*VLOOKUP(C544,Settings!$A$2:$F$5,4,FALSE)/100+VLOOKUP(C544,Settings!$A$2:$F$5,5,FALSE)+VLOOKUP(C544,Settings!$A$2:$F$5,6,FALSE),0))</f>
        <v/>
      </c>
      <c r="J544" s="3">
        <f>IF(B544="","",IF(ISNA(MATCH(B544,Inventory!$A$2:$A$201,0)),"Check product",E544*D544+F544-I544-G544-H544))</f>
        <v/>
      </c>
      <c r="K544" s="4">
        <f>IF(OR(B544="",NOT(ISNUMBER(J544)),E544*D544+F544=0),"",J544/(E544*D544+F544))</f>
        <v/>
      </c>
    </row>
    <row r="545">
      <c r="A545" s="8" t="n"/>
      <c r="B545" s="6" t="n"/>
      <c r="C545" s="6" t="n"/>
      <c r="D545" s="6" t="n"/>
      <c r="E545" s="7" t="n"/>
      <c r="F545" s="7" t="n"/>
      <c r="G545" s="7" t="n"/>
      <c r="H545" s="3">
        <f>IFERROR(VLOOKUP(B545,Inventory!$A:$B,2,FALSE)*D545,0)</f>
        <v/>
      </c>
      <c r="I545" s="3">
        <f>IF(C545="",0,IFERROR(VLOOKUP(C545,Settings!$A$2:$F$5,2,FALSE)+(E545*D545+F545)*VLOOKUP(C545,Settings!$A$2:$F$5,3,FALSE)/100+(E545*D545+F545)*VLOOKUP(C545,Settings!$A$2:$F$5,4,FALSE)/100+VLOOKUP(C545,Settings!$A$2:$F$5,5,FALSE)+VLOOKUP(C545,Settings!$A$2:$F$5,6,FALSE),0))</f>
        <v/>
      </c>
      <c r="J545" s="3">
        <f>IF(B545="","",IF(ISNA(MATCH(B545,Inventory!$A$2:$A$201,0)),"Check product",E545*D545+F545-I545-G545-H545))</f>
        <v/>
      </c>
      <c r="K545" s="4">
        <f>IF(OR(B545="",NOT(ISNUMBER(J545)),E545*D545+F545=0),"",J545/(E545*D545+F545))</f>
        <v/>
      </c>
    </row>
    <row r="546">
      <c r="A546" s="8" t="n"/>
      <c r="B546" s="6" t="n"/>
      <c r="C546" s="6" t="n"/>
      <c r="D546" s="6" t="n"/>
      <c r="E546" s="7" t="n"/>
      <c r="F546" s="7" t="n"/>
      <c r="G546" s="7" t="n"/>
      <c r="H546" s="3">
        <f>IFERROR(VLOOKUP(B546,Inventory!$A:$B,2,FALSE)*D546,0)</f>
        <v/>
      </c>
      <c r="I546" s="3">
        <f>IF(C546="",0,IFERROR(VLOOKUP(C546,Settings!$A$2:$F$5,2,FALSE)+(E546*D546+F546)*VLOOKUP(C546,Settings!$A$2:$F$5,3,FALSE)/100+(E546*D546+F546)*VLOOKUP(C546,Settings!$A$2:$F$5,4,FALSE)/100+VLOOKUP(C546,Settings!$A$2:$F$5,5,FALSE)+VLOOKUP(C546,Settings!$A$2:$F$5,6,FALSE),0))</f>
        <v/>
      </c>
      <c r="J546" s="3">
        <f>IF(B546="","",IF(ISNA(MATCH(B546,Inventory!$A$2:$A$201,0)),"Check product",E546*D546+F546-I546-G546-H546))</f>
        <v/>
      </c>
      <c r="K546" s="4">
        <f>IF(OR(B546="",NOT(ISNUMBER(J546)),E546*D546+F546=0),"",J546/(E546*D546+F546))</f>
        <v/>
      </c>
    </row>
    <row r="547">
      <c r="A547" s="8" t="n"/>
      <c r="B547" s="6" t="n"/>
      <c r="C547" s="6" t="n"/>
      <c r="D547" s="6" t="n"/>
      <c r="E547" s="7" t="n"/>
      <c r="F547" s="7" t="n"/>
      <c r="G547" s="7" t="n"/>
      <c r="H547" s="3">
        <f>IFERROR(VLOOKUP(B547,Inventory!$A:$B,2,FALSE)*D547,0)</f>
        <v/>
      </c>
      <c r="I547" s="3">
        <f>IF(C547="",0,IFERROR(VLOOKUP(C547,Settings!$A$2:$F$5,2,FALSE)+(E547*D547+F547)*VLOOKUP(C547,Settings!$A$2:$F$5,3,FALSE)/100+(E547*D547+F547)*VLOOKUP(C547,Settings!$A$2:$F$5,4,FALSE)/100+VLOOKUP(C547,Settings!$A$2:$F$5,5,FALSE)+VLOOKUP(C547,Settings!$A$2:$F$5,6,FALSE),0))</f>
        <v/>
      </c>
      <c r="J547" s="3">
        <f>IF(B547="","",IF(ISNA(MATCH(B547,Inventory!$A$2:$A$201,0)),"Check product",E547*D547+F547-I547-G547-H547))</f>
        <v/>
      </c>
      <c r="K547" s="4">
        <f>IF(OR(B547="",NOT(ISNUMBER(J547)),E547*D547+F547=0),"",J547/(E547*D547+F547))</f>
        <v/>
      </c>
    </row>
    <row r="548">
      <c r="A548" s="8" t="n"/>
      <c r="B548" s="6" t="n"/>
      <c r="C548" s="6" t="n"/>
      <c r="D548" s="6" t="n"/>
      <c r="E548" s="7" t="n"/>
      <c r="F548" s="7" t="n"/>
      <c r="G548" s="7" t="n"/>
      <c r="H548" s="3">
        <f>IFERROR(VLOOKUP(B548,Inventory!$A:$B,2,FALSE)*D548,0)</f>
        <v/>
      </c>
      <c r="I548" s="3">
        <f>IF(C548="",0,IFERROR(VLOOKUP(C548,Settings!$A$2:$F$5,2,FALSE)+(E548*D548+F548)*VLOOKUP(C548,Settings!$A$2:$F$5,3,FALSE)/100+(E548*D548+F548)*VLOOKUP(C548,Settings!$A$2:$F$5,4,FALSE)/100+VLOOKUP(C548,Settings!$A$2:$F$5,5,FALSE)+VLOOKUP(C548,Settings!$A$2:$F$5,6,FALSE),0))</f>
        <v/>
      </c>
      <c r="J548" s="3">
        <f>IF(B548="","",IF(ISNA(MATCH(B548,Inventory!$A$2:$A$201,0)),"Check product",E548*D548+F548-I548-G548-H548))</f>
        <v/>
      </c>
      <c r="K548" s="4">
        <f>IF(OR(B548="",NOT(ISNUMBER(J548)),E548*D548+F548=0),"",J548/(E548*D548+F548))</f>
        <v/>
      </c>
    </row>
    <row r="549">
      <c r="A549" s="8" t="n"/>
      <c r="B549" s="6" t="n"/>
      <c r="C549" s="6" t="n"/>
      <c r="D549" s="6" t="n"/>
      <c r="E549" s="7" t="n"/>
      <c r="F549" s="7" t="n"/>
      <c r="G549" s="7" t="n"/>
      <c r="H549" s="3">
        <f>IFERROR(VLOOKUP(B549,Inventory!$A:$B,2,FALSE)*D549,0)</f>
        <v/>
      </c>
      <c r="I549" s="3">
        <f>IF(C549="",0,IFERROR(VLOOKUP(C549,Settings!$A$2:$F$5,2,FALSE)+(E549*D549+F549)*VLOOKUP(C549,Settings!$A$2:$F$5,3,FALSE)/100+(E549*D549+F549)*VLOOKUP(C549,Settings!$A$2:$F$5,4,FALSE)/100+VLOOKUP(C549,Settings!$A$2:$F$5,5,FALSE)+VLOOKUP(C549,Settings!$A$2:$F$5,6,FALSE),0))</f>
        <v/>
      </c>
      <c r="J549" s="3">
        <f>IF(B549="","",IF(ISNA(MATCH(B549,Inventory!$A$2:$A$201,0)),"Check product",E549*D549+F549-I549-G549-H549))</f>
        <v/>
      </c>
      <c r="K549" s="4">
        <f>IF(OR(B549="",NOT(ISNUMBER(J549)),E549*D549+F549=0),"",J549/(E549*D549+F549))</f>
        <v/>
      </c>
    </row>
    <row r="550">
      <c r="A550" s="8" t="n"/>
      <c r="B550" s="6" t="n"/>
      <c r="C550" s="6" t="n"/>
      <c r="D550" s="6" t="n"/>
      <c r="E550" s="7" t="n"/>
      <c r="F550" s="7" t="n"/>
      <c r="G550" s="7" t="n"/>
      <c r="H550" s="3">
        <f>IFERROR(VLOOKUP(B550,Inventory!$A:$B,2,FALSE)*D550,0)</f>
        <v/>
      </c>
      <c r="I550" s="3">
        <f>IF(C550="",0,IFERROR(VLOOKUP(C550,Settings!$A$2:$F$5,2,FALSE)+(E550*D550+F550)*VLOOKUP(C550,Settings!$A$2:$F$5,3,FALSE)/100+(E550*D550+F550)*VLOOKUP(C550,Settings!$A$2:$F$5,4,FALSE)/100+VLOOKUP(C550,Settings!$A$2:$F$5,5,FALSE)+VLOOKUP(C550,Settings!$A$2:$F$5,6,FALSE),0))</f>
        <v/>
      </c>
      <c r="J550" s="3">
        <f>IF(B550="","",IF(ISNA(MATCH(B550,Inventory!$A$2:$A$201,0)),"Check product",E550*D550+F550-I550-G550-H550))</f>
        <v/>
      </c>
      <c r="K550" s="4">
        <f>IF(OR(B550="",NOT(ISNUMBER(J550)),E550*D550+F550=0),"",J550/(E550*D550+F550))</f>
        <v/>
      </c>
    </row>
    <row r="551">
      <c r="A551" s="8" t="n"/>
      <c r="B551" s="6" t="n"/>
      <c r="C551" s="6" t="n"/>
      <c r="D551" s="6" t="n"/>
      <c r="E551" s="7" t="n"/>
      <c r="F551" s="7" t="n"/>
      <c r="G551" s="7" t="n"/>
      <c r="H551" s="3">
        <f>IFERROR(VLOOKUP(B551,Inventory!$A:$B,2,FALSE)*D551,0)</f>
        <v/>
      </c>
      <c r="I551" s="3">
        <f>IF(C551="",0,IFERROR(VLOOKUP(C551,Settings!$A$2:$F$5,2,FALSE)+(E551*D551+F551)*VLOOKUP(C551,Settings!$A$2:$F$5,3,FALSE)/100+(E551*D551+F551)*VLOOKUP(C551,Settings!$A$2:$F$5,4,FALSE)/100+VLOOKUP(C551,Settings!$A$2:$F$5,5,FALSE)+VLOOKUP(C551,Settings!$A$2:$F$5,6,FALSE),0))</f>
        <v/>
      </c>
      <c r="J551" s="3">
        <f>IF(B551="","",IF(ISNA(MATCH(B551,Inventory!$A$2:$A$201,0)),"Check product",E551*D551+F551-I551-G551-H551))</f>
        <v/>
      </c>
      <c r="K551" s="4">
        <f>IF(OR(B551="",NOT(ISNUMBER(J551)),E551*D551+F551=0),"",J551/(E551*D551+F551))</f>
        <v/>
      </c>
    </row>
    <row r="552">
      <c r="A552" s="8" t="n"/>
      <c r="B552" s="6" t="n"/>
      <c r="C552" s="6" t="n"/>
      <c r="D552" s="6" t="n"/>
      <c r="E552" s="7" t="n"/>
      <c r="F552" s="7" t="n"/>
      <c r="G552" s="7" t="n"/>
      <c r="H552" s="3">
        <f>IFERROR(VLOOKUP(B552,Inventory!$A:$B,2,FALSE)*D552,0)</f>
        <v/>
      </c>
      <c r="I552" s="3">
        <f>IF(C552="",0,IFERROR(VLOOKUP(C552,Settings!$A$2:$F$5,2,FALSE)+(E552*D552+F552)*VLOOKUP(C552,Settings!$A$2:$F$5,3,FALSE)/100+(E552*D552+F552)*VLOOKUP(C552,Settings!$A$2:$F$5,4,FALSE)/100+VLOOKUP(C552,Settings!$A$2:$F$5,5,FALSE)+VLOOKUP(C552,Settings!$A$2:$F$5,6,FALSE),0))</f>
        <v/>
      </c>
      <c r="J552" s="3">
        <f>IF(B552="","",IF(ISNA(MATCH(B552,Inventory!$A$2:$A$201,0)),"Check product",E552*D552+F552-I552-G552-H552))</f>
        <v/>
      </c>
      <c r="K552" s="4">
        <f>IF(OR(B552="",NOT(ISNUMBER(J552)),E552*D552+F552=0),"",J552/(E552*D552+F552))</f>
        <v/>
      </c>
    </row>
    <row r="553">
      <c r="A553" s="8" t="n"/>
      <c r="B553" s="6" t="n"/>
      <c r="C553" s="6" t="n"/>
      <c r="D553" s="6" t="n"/>
      <c r="E553" s="7" t="n"/>
      <c r="F553" s="7" t="n"/>
      <c r="G553" s="7" t="n"/>
      <c r="H553" s="3">
        <f>IFERROR(VLOOKUP(B553,Inventory!$A:$B,2,FALSE)*D553,0)</f>
        <v/>
      </c>
      <c r="I553" s="3">
        <f>IF(C553="",0,IFERROR(VLOOKUP(C553,Settings!$A$2:$F$5,2,FALSE)+(E553*D553+F553)*VLOOKUP(C553,Settings!$A$2:$F$5,3,FALSE)/100+(E553*D553+F553)*VLOOKUP(C553,Settings!$A$2:$F$5,4,FALSE)/100+VLOOKUP(C553,Settings!$A$2:$F$5,5,FALSE)+VLOOKUP(C553,Settings!$A$2:$F$5,6,FALSE),0))</f>
        <v/>
      </c>
      <c r="J553" s="3">
        <f>IF(B553="","",IF(ISNA(MATCH(B553,Inventory!$A$2:$A$201,0)),"Check product",E553*D553+F553-I553-G553-H553))</f>
        <v/>
      </c>
      <c r="K553" s="4">
        <f>IF(OR(B553="",NOT(ISNUMBER(J553)),E553*D553+F553=0),"",J553/(E553*D553+F553))</f>
        <v/>
      </c>
    </row>
    <row r="554">
      <c r="A554" s="8" t="n"/>
      <c r="B554" s="6" t="n"/>
      <c r="C554" s="6" t="n"/>
      <c r="D554" s="6" t="n"/>
      <c r="E554" s="7" t="n"/>
      <c r="F554" s="7" t="n"/>
      <c r="G554" s="7" t="n"/>
      <c r="H554" s="3">
        <f>IFERROR(VLOOKUP(B554,Inventory!$A:$B,2,FALSE)*D554,0)</f>
        <v/>
      </c>
      <c r="I554" s="3">
        <f>IF(C554="",0,IFERROR(VLOOKUP(C554,Settings!$A$2:$F$5,2,FALSE)+(E554*D554+F554)*VLOOKUP(C554,Settings!$A$2:$F$5,3,FALSE)/100+(E554*D554+F554)*VLOOKUP(C554,Settings!$A$2:$F$5,4,FALSE)/100+VLOOKUP(C554,Settings!$A$2:$F$5,5,FALSE)+VLOOKUP(C554,Settings!$A$2:$F$5,6,FALSE),0))</f>
        <v/>
      </c>
      <c r="J554" s="3">
        <f>IF(B554="","",IF(ISNA(MATCH(B554,Inventory!$A$2:$A$201,0)),"Check product",E554*D554+F554-I554-G554-H554))</f>
        <v/>
      </c>
      <c r="K554" s="4">
        <f>IF(OR(B554="",NOT(ISNUMBER(J554)),E554*D554+F554=0),"",J554/(E554*D554+F554))</f>
        <v/>
      </c>
    </row>
    <row r="555">
      <c r="A555" s="8" t="n"/>
      <c r="B555" s="6" t="n"/>
      <c r="C555" s="6" t="n"/>
      <c r="D555" s="6" t="n"/>
      <c r="E555" s="7" t="n"/>
      <c r="F555" s="7" t="n"/>
      <c r="G555" s="7" t="n"/>
      <c r="H555" s="3">
        <f>IFERROR(VLOOKUP(B555,Inventory!$A:$B,2,FALSE)*D555,0)</f>
        <v/>
      </c>
      <c r="I555" s="3">
        <f>IF(C555="",0,IFERROR(VLOOKUP(C555,Settings!$A$2:$F$5,2,FALSE)+(E555*D555+F555)*VLOOKUP(C555,Settings!$A$2:$F$5,3,FALSE)/100+(E555*D555+F555)*VLOOKUP(C555,Settings!$A$2:$F$5,4,FALSE)/100+VLOOKUP(C555,Settings!$A$2:$F$5,5,FALSE)+VLOOKUP(C555,Settings!$A$2:$F$5,6,FALSE),0))</f>
        <v/>
      </c>
      <c r="J555" s="3">
        <f>IF(B555="","",IF(ISNA(MATCH(B555,Inventory!$A$2:$A$201,0)),"Check product",E555*D555+F555-I555-G555-H555))</f>
        <v/>
      </c>
      <c r="K555" s="4">
        <f>IF(OR(B555="",NOT(ISNUMBER(J555)),E555*D555+F555=0),"",J555/(E555*D555+F555))</f>
        <v/>
      </c>
    </row>
    <row r="556">
      <c r="A556" s="8" t="n"/>
      <c r="B556" s="6" t="n"/>
      <c r="C556" s="6" t="n"/>
      <c r="D556" s="6" t="n"/>
      <c r="E556" s="7" t="n"/>
      <c r="F556" s="7" t="n"/>
      <c r="G556" s="7" t="n"/>
      <c r="H556" s="3">
        <f>IFERROR(VLOOKUP(B556,Inventory!$A:$B,2,FALSE)*D556,0)</f>
        <v/>
      </c>
      <c r="I556" s="3">
        <f>IF(C556="",0,IFERROR(VLOOKUP(C556,Settings!$A$2:$F$5,2,FALSE)+(E556*D556+F556)*VLOOKUP(C556,Settings!$A$2:$F$5,3,FALSE)/100+(E556*D556+F556)*VLOOKUP(C556,Settings!$A$2:$F$5,4,FALSE)/100+VLOOKUP(C556,Settings!$A$2:$F$5,5,FALSE)+VLOOKUP(C556,Settings!$A$2:$F$5,6,FALSE),0))</f>
        <v/>
      </c>
      <c r="J556" s="3">
        <f>IF(B556="","",IF(ISNA(MATCH(B556,Inventory!$A$2:$A$201,0)),"Check product",E556*D556+F556-I556-G556-H556))</f>
        <v/>
      </c>
      <c r="K556" s="4">
        <f>IF(OR(B556="",NOT(ISNUMBER(J556)),E556*D556+F556=0),"",J556/(E556*D556+F556))</f>
        <v/>
      </c>
    </row>
    <row r="557">
      <c r="A557" s="8" t="n"/>
      <c r="B557" s="6" t="n"/>
      <c r="C557" s="6" t="n"/>
      <c r="D557" s="6" t="n"/>
      <c r="E557" s="7" t="n"/>
      <c r="F557" s="7" t="n"/>
      <c r="G557" s="7" t="n"/>
      <c r="H557" s="3">
        <f>IFERROR(VLOOKUP(B557,Inventory!$A:$B,2,FALSE)*D557,0)</f>
        <v/>
      </c>
      <c r="I557" s="3">
        <f>IF(C557="",0,IFERROR(VLOOKUP(C557,Settings!$A$2:$F$5,2,FALSE)+(E557*D557+F557)*VLOOKUP(C557,Settings!$A$2:$F$5,3,FALSE)/100+(E557*D557+F557)*VLOOKUP(C557,Settings!$A$2:$F$5,4,FALSE)/100+VLOOKUP(C557,Settings!$A$2:$F$5,5,FALSE)+VLOOKUP(C557,Settings!$A$2:$F$5,6,FALSE),0))</f>
        <v/>
      </c>
      <c r="J557" s="3">
        <f>IF(B557="","",IF(ISNA(MATCH(B557,Inventory!$A$2:$A$201,0)),"Check product",E557*D557+F557-I557-G557-H557))</f>
        <v/>
      </c>
      <c r="K557" s="4">
        <f>IF(OR(B557="",NOT(ISNUMBER(J557)),E557*D557+F557=0),"",J557/(E557*D557+F557))</f>
        <v/>
      </c>
    </row>
    <row r="558">
      <c r="A558" s="8" t="n"/>
      <c r="B558" s="6" t="n"/>
      <c r="C558" s="6" t="n"/>
      <c r="D558" s="6" t="n"/>
      <c r="E558" s="7" t="n"/>
      <c r="F558" s="7" t="n"/>
      <c r="G558" s="7" t="n"/>
      <c r="H558" s="3">
        <f>IFERROR(VLOOKUP(B558,Inventory!$A:$B,2,FALSE)*D558,0)</f>
        <v/>
      </c>
      <c r="I558" s="3">
        <f>IF(C558="",0,IFERROR(VLOOKUP(C558,Settings!$A$2:$F$5,2,FALSE)+(E558*D558+F558)*VLOOKUP(C558,Settings!$A$2:$F$5,3,FALSE)/100+(E558*D558+F558)*VLOOKUP(C558,Settings!$A$2:$F$5,4,FALSE)/100+VLOOKUP(C558,Settings!$A$2:$F$5,5,FALSE)+VLOOKUP(C558,Settings!$A$2:$F$5,6,FALSE),0))</f>
        <v/>
      </c>
      <c r="J558" s="3">
        <f>IF(B558="","",IF(ISNA(MATCH(B558,Inventory!$A$2:$A$201,0)),"Check product",E558*D558+F558-I558-G558-H558))</f>
        <v/>
      </c>
      <c r="K558" s="4">
        <f>IF(OR(B558="",NOT(ISNUMBER(J558)),E558*D558+F558=0),"",J558/(E558*D558+F558))</f>
        <v/>
      </c>
    </row>
    <row r="559">
      <c r="A559" s="8" t="n"/>
      <c r="B559" s="6" t="n"/>
      <c r="C559" s="6" t="n"/>
      <c r="D559" s="6" t="n"/>
      <c r="E559" s="7" t="n"/>
      <c r="F559" s="7" t="n"/>
      <c r="G559" s="7" t="n"/>
      <c r="H559" s="3">
        <f>IFERROR(VLOOKUP(B559,Inventory!$A:$B,2,FALSE)*D559,0)</f>
        <v/>
      </c>
      <c r="I559" s="3">
        <f>IF(C559="",0,IFERROR(VLOOKUP(C559,Settings!$A$2:$F$5,2,FALSE)+(E559*D559+F559)*VLOOKUP(C559,Settings!$A$2:$F$5,3,FALSE)/100+(E559*D559+F559)*VLOOKUP(C559,Settings!$A$2:$F$5,4,FALSE)/100+VLOOKUP(C559,Settings!$A$2:$F$5,5,FALSE)+VLOOKUP(C559,Settings!$A$2:$F$5,6,FALSE),0))</f>
        <v/>
      </c>
      <c r="J559" s="3">
        <f>IF(B559="","",IF(ISNA(MATCH(B559,Inventory!$A$2:$A$201,0)),"Check product",E559*D559+F559-I559-G559-H559))</f>
        <v/>
      </c>
      <c r="K559" s="4">
        <f>IF(OR(B559="",NOT(ISNUMBER(J559)),E559*D559+F559=0),"",J559/(E559*D559+F559))</f>
        <v/>
      </c>
    </row>
    <row r="560">
      <c r="A560" s="8" t="n"/>
      <c r="B560" s="6" t="n"/>
      <c r="C560" s="6" t="n"/>
      <c r="D560" s="6" t="n"/>
      <c r="E560" s="7" t="n"/>
      <c r="F560" s="7" t="n"/>
      <c r="G560" s="7" t="n"/>
      <c r="H560" s="3">
        <f>IFERROR(VLOOKUP(B560,Inventory!$A:$B,2,FALSE)*D560,0)</f>
        <v/>
      </c>
      <c r="I560" s="3">
        <f>IF(C560="",0,IFERROR(VLOOKUP(C560,Settings!$A$2:$F$5,2,FALSE)+(E560*D560+F560)*VLOOKUP(C560,Settings!$A$2:$F$5,3,FALSE)/100+(E560*D560+F560)*VLOOKUP(C560,Settings!$A$2:$F$5,4,FALSE)/100+VLOOKUP(C560,Settings!$A$2:$F$5,5,FALSE)+VLOOKUP(C560,Settings!$A$2:$F$5,6,FALSE),0))</f>
        <v/>
      </c>
      <c r="J560" s="3">
        <f>IF(B560="","",IF(ISNA(MATCH(B560,Inventory!$A$2:$A$201,0)),"Check product",E560*D560+F560-I560-G560-H560))</f>
        <v/>
      </c>
      <c r="K560" s="4">
        <f>IF(OR(B560="",NOT(ISNUMBER(J560)),E560*D560+F560=0),"",J560/(E560*D560+F560))</f>
        <v/>
      </c>
    </row>
    <row r="561">
      <c r="A561" s="8" t="n"/>
      <c r="B561" s="6" t="n"/>
      <c r="C561" s="6" t="n"/>
      <c r="D561" s="6" t="n"/>
      <c r="E561" s="7" t="n"/>
      <c r="F561" s="7" t="n"/>
      <c r="G561" s="7" t="n"/>
      <c r="H561" s="3">
        <f>IFERROR(VLOOKUP(B561,Inventory!$A:$B,2,FALSE)*D561,0)</f>
        <v/>
      </c>
      <c r="I561" s="3">
        <f>IF(C561="",0,IFERROR(VLOOKUP(C561,Settings!$A$2:$F$5,2,FALSE)+(E561*D561+F561)*VLOOKUP(C561,Settings!$A$2:$F$5,3,FALSE)/100+(E561*D561+F561)*VLOOKUP(C561,Settings!$A$2:$F$5,4,FALSE)/100+VLOOKUP(C561,Settings!$A$2:$F$5,5,FALSE)+VLOOKUP(C561,Settings!$A$2:$F$5,6,FALSE),0))</f>
        <v/>
      </c>
      <c r="J561" s="3">
        <f>IF(B561="","",IF(ISNA(MATCH(B561,Inventory!$A$2:$A$201,0)),"Check product",E561*D561+F561-I561-G561-H561))</f>
        <v/>
      </c>
      <c r="K561" s="4">
        <f>IF(OR(B561="",NOT(ISNUMBER(J561)),E561*D561+F561=0),"",J561/(E561*D561+F561))</f>
        <v/>
      </c>
    </row>
    <row r="562">
      <c r="A562" s="8" t="n"/>
      <c r="B562" s="6" t="n"/>
      <c r="C562" s="6" t="n"/>
      <c r="D562" s="6" t="n"/>
      <c r="E562" s="7" t="n"/>
      <c r="F562" s="7" t="n"/>
      <c r="G562" s="7" t="n"/>
      <c r="H562" s="3">
        <f>IFERROR(VLOOKUP(B562,Inventory!$A:$B,2,FALSE)*D562,0)</f>
        <v/>
      </c>
      <c r="I562" s="3">
        <f>IF(C562="",0,IFERROR(VLOOKUP(C562,Settings!$A$2:$F$5,2,FALSE)+(E562*D562+F562)*VLOOKUP(C562,Settings!$A$2:$F$5,3,FALSE)/100+(E562*D562+F562)*VLOOKUP(C562,Settings!$A$2:$F$5,4,FALSE)/100+VLOOKUP(C562,Settings!$A$2:$F$5,5,FALSE)+VLOOKUP(C562,Settings!$A$2:$F$5,6,FALSE),0))</f>
        <v/>
      </c>
      <c r="J562" s="3">
        <f>IF(B562="","",IF(ISNA(MATCH(B562,Inventory!$A$2:$A$201,0)),"Check product",E562*D562+F562-I562-G562-H562))</f>
        <v/>
      </c>
      <c r="K562" s="4">
        <f>IF(OR(B562="",NOT(ISNUMBER(J562)),E562*D562+F562=0),"",J562/(E562*D562+F562))</f>
        <v/>
      </c>
    </row>
    <row r="563">
      <c r="A563" s="8" t="n"/>
      <c r="B563" s="6" t="n"/>
      <c r="C563" s="6" t="n"/>
      <c r="D563" s="6" t="n"/>
      <c r="E563" s="7" t="n"/>
      <c r="F563" s="7" t="n"/>
      <c r="G563" s="7" t="n"/>
      <c r="H563" s="3">
        <f>IFERROR(VLOOKUP(B563,Inventory!$A:$B,2,FALSE)*D563,0)</f>
        <v/>
      </c>
      <c r="I563" s="3">
        <f>IF(C563="",0,IFERROR(VLOOKUP(C563,Settings!$A$2:$F$5,2,FALSE)+(E563*D563+F563)*VLOOKUP(C563,Settings!$A$2:$F$5,3,FALSE)/100+(E563*D563+F563)*VLOOKUP(C563,Settings!$A$2:$F$5,4,FALSE)/100+VLOOKUP(C563,Settings!$A$2:$F$5,5,FALSE)+VLOOKUP(C563,Settings!$A$2:$F$5,6,FALSE),0))</f>
        <v/>
      </c>
      <c r="J563" s="3">
        <f>IF(B563="","",IF(ISNA(MATCH(B563,Inventory!$A$2:$A$201,0)),"Check product",E563*D563+F563-I563-G563-H563))</f>
        <v/>
      </c>
      <c r="K563" s="4">
        <f>IF(OR(B563="",NOT(ISNUMBER(J563)),E563*D563+F563=0),"",J563/(E563*D563+F563))</f>
        <v/>
      </c>
    </row>
    <row r="564">
      <c r="A564" s="8" t="n"/>
      <c r="B564" s="6" t="n"/>
      <c r="C564" s="6" t="n"/>
      <c r="D564" s="6" t="n"/>
      <c r="E564" s="7" t="n"/>
      <c r="F564" s="7" t="n"/>
      <c r="G564" s="7" t="n"/>
      <c r="H564" s="3">
        <f>IFERROR(VLOOKUP(B564,Inventory!$A:$B,2,FALSE)*D564,0)</f>
        <v/>
      </c>
      <c r="I564" s="3">
        <f>IF(C564="",0,IFERROR(VLOOKUP(C564,Settings!$A$2:$F$5,2,FALSE)+(E564*D564+F564)*VLOOKUP(C564,Settings!$A$2:$F$5,3,FALSE)/100+(E564*D564+F564)*VLOOKUP(C564,Settings!$A$2:$F$5,4,FALSE)/100+VLOOKUP(C564,Settings!$A$2:$F$5,5,FALSE)+VLOOKUP(C564,Settings!$A$2:$F$5,6,FALSE),0))</f>
        <v/>
      </c>
      <c r="J564" s="3">
        <f>IF(B564="","",IF(ISNA(MATCH(B564,Inventory!$A$2:$A$201,0)),"Check product",E564*D564+F564-I564-G564-H564))</f>
        <v/>
      </c>
      <c r="K564" s="4">
        <f>IF(OR(B564="",NOT(ISNUMBER(J564)),E564*D564+F564=0),"",J564/(E564*D564+F564))</f>
        <v/>
      </c>
    </row>
    <row r="565">
      <c r="A565" s="8" t="n"/>
      <c r="B565" s="6" t="n"/>
      <c r="C565" s="6" t="n"/>
      <c r="D565" s="6" t="n"/>
      <c r="E565" s="7" t="n"/>
      <c r="F565" s="7" t="n"/>
      <c r="G565" s="7" t="n"/>
      <c r="H565" s="3">
        <f>IFERROR(VLOOKUP(B565,Inventory!$A:$B,2,FALSE)*D565,0)</f>
        <v/>
      </c>
      <c r="I565" s="3">
        <f>IF(C565="",0,IFERROR(VLOOKUP(C565,Settings!$A$2:$F$5,2,FALSE)+(E565*D565+F565)*VLOOKUP(C565,Settings!$A$2:$F$5,3,FALSE)/100+(E565*D565+F565)*VLOOKUP(C565,Settings!$A$2:$F$5,4,FALSE)/100+VLOOKUP(C565,Settings!$A$2:$F$5,5,FALSE)+VLOOKUP(C565,Settings!$A$2:$F$5,6,FALSE),0))</f>
        <v/>
      </c>
      <c r="J565" s="3">
        <f>IF(B565="","",IF(ISNA(MATCH(B565,Inventory!$A$2:$A$201,0)),"Check product",E565*D565+F565-I565-G565-H565))</f>
        <v/>
      </c>
      <c r="K565" s="4">
        <f>IF(OR(B565="",NOT(ISNUMBER(J565)),E565*D565+F565=0),"",J565/(E565*D565+F565))</f>
        <v/>
      </c>
    </row>
    <row r="566">
      <c r="A566" s="8" t="n"/>
      <c r="B566" s="6" t="n"/>
      <c r="C566" s="6" t="n"/>
      <c r="D566" s="6" t="n"/>
      <c r="E566" s="7" t="n"/>
      <c r="F566" s="7" t="n"/>
      <c r="G566" s="7" t="n"/>
      <c r="H566" s="3">
        <f>IFERROR(VLOOKUP(B566,Inventory!$A:$B,2,FALSE)*D566,0)</f>
        <v/>
      </c>
      <c r="I566" s="3">
        <f>IF(C566="",0,IFERROR(VLOOKUP(C566,Settings!$A$2:$F$5,2,FALSE)+(E566*D566+F566)*VLOOKUP(C566,Settings!$A$2:$F$5,3,FALSE)/100+(E566*D566+F566)*VLOOKUP(C566,Settings!$A$2:$F$5,4,FALSE)/100+VLOOKUP(C566,Settings!$A$2:$F$5,5,FALSE)+VLOOKUP(C566,Settings!$A$2:$F$5,6,FALSE),0))</f>
        <v/>
      </c>
      <c r="J566" s="3">
        <f>IF(B566="","",IF(ISNA(MATCH(B566,Inventory!$A$2:$A$201,0)),"Check product",E566*D566+F566-I566-G566-H566))</f>
        <v/>
      </c>
      <c r="K566" s="4">
        <f>IF(OR(B566="",NOT(ISNUMBER(J566)),E566*D566+F566=0),"",J566/(E566*D566+F566))</f>
        <v/>
      </c>
    </row>
    <row r="567">
      <c r="A567" s="8" t="n"/>
      <c r="B567" s="6" t="n"/>
      <c r="C567" s="6" t="n"/>
      <c r="D567" s="6" t="n"/>
      <c r="E567" s="7" t="n"/>
      <c r="F567" s="7" t="n"/>
      <c r="G567" s="7" t="n"/>
      <c r="H567" s="3">
        <f>IFERROR(VLOOKUP(B567,Inventory!$A:$B,2,FALSE)*D567,0)</f>
        <v/>
      </c>
      <c r="I567" s="3">
        <f>IF(C567="",0,IFERROR(VLOOKUP(C567,Settings!$A$2:$F$5,2,FALSE)+(E567*D567+F567)*VLOOKUP(C567,Settings!$A$2:$F$5,3,FALSE)/100+(E567*D567+F567)*VLOOKUP(C567,Settings!$A$2:$F$5,4,FALSE)/100+VLOOKUP(C567,Settings!$A$2:$F$5,5,FALSE)+VLOOKUP(C567,Settings!$A$2:$F$5,6,FALSE),0))</f>
        <v/>
      </c>
      <c r="J567" s="3">
        <f>IF(B567="","",IF(ISNA(MATCH(B567,Inventory!$A$2:$A$201,0)),"Check product",E567*D567+F567-I567-G567-H567))</f>
        <v/>
      </c>
      <c r="K567" s="4">
        <f>IF(OR(B567="",NOT(ISNUMBER(J567)),E567*D567+F567=0),"",J567/(E567*D567+F567))</f>
        <v/>
      </c>
    </row>
    <row r="568">
      <c r="A568" s="8" t="n"/>
      <c r="B568" s="6" t="n"/>
      <c r="C568" s="6" t="n"/>
      <c r="D568" s="6" t="n"/>
      <c r="E568" s="7" t="n"/>
      <c r="F568" s="7" t="n"/>
      <c r="G568" s="7" t="n"/>
      <c r="H568" s="3">
        <f>IFERROR(VLOOKUP(B568,Inventory!$A:$B,2,FALSE)*D568,0)</f>
        <v/>
      </c>
      <c r="I568" s="3">
        <f>IF(C568="",0,IFERROR(VLOOKUP(C568,Settings!$A$2:$F$5,2,FALSE)+(E568*D568+F568)*VLOOKUP(C568,Settings!$A$2:$F$5,3,FALSE)/100+(E568*D568+F568)*VLOOKUP(C568,Settings!$A$2:$F$5,4,FALSE)/100+VLOOKUP(C568,Settings!$A$2:$F$5,5,FALSE)+VLOOKUP(C568,Settings!$A$2:$F$5,6,FALSE),0))</f>
        <v/>
      </c>
      <c r="J568" s="3">
        <f>IF(B568="","",IF(ISNA(MATCH(B568,Inventory!$A$2:$A$201,0)),"Check product",E568*D568+F568-I568-G568-H568))</f>
        <v/>
      </c>
      <c r="K568" s="4">
        <f>IF(OR(B568="",NOT(ISNUMBER(J568)),E568*D568+F568=0),"",J568/(E568*D568+F568))</f>
        <v/>
      </c>
    </row>
    <row r="569">
      <c r="A569" s="8" t="n"/>
      <c r="B569" s="6" t="n"/>
      <c r="C569" s="6" t="n"/>
      <c r="D569" s="6" t="n"/>
      <c r="E569" s="7" t="n"/>
      <c r="F569" s="7" t="n"/>
      <c r="G569" s="7" t="n"/>
      <c r="H569" s="3">
        <f>IFERROR(VLOOKUP(B569,Inventory!$A:$B,2,FALSE)*D569,0)</f>
        <v/>
      </c>
      <c r="I569" s="3">
        <f>IF(C569="",0,IFERROR(VLOOKUP(C569,Settings!$A$2:$F$5,2,FALSE)+(E569*D569+F569)*VLOOKUP(C569,Settings!$A$2:$F$5,3,FALSE)/100+(E569*D569+F569)*VLOOKUP(C569,Settings!$A$2:$F$5,4,FALSE)/100+VLOOKUP(C569,Settings!$A$2:$F$5,5,FALSE)+VLOOKUP(C569,Settings!$A$2:$F$5,6,FALSE),0))</f>
        <v/>
      </c>
      <c r="J569" s="3">
        <f>IF(B569="","",IF(ISNA(MATCH(B569,Inventory!$A$2:$A$201,0)),"Check product",E569*D569+F569-I569-G569-H569))</f>
        <v/>
      </c>
      <c r="K569" s="4">
        <f>IF(OR(B569="",NOT(ISNUMBER(J569)),E569*D569+F569=0),"",J569/(E569*D569+F569))</f>
        <v/>
      </c>
    </row>
    <row r="570">
      <c r="A570" s="8" t="n"/>
      <c r="B570" s="6" t="n"/>
      <c r="C570" s="6" t="n"/>
      <c r="D570" s="6" t="n"/>
      <c r="E570" s="7" t="n"/>
      <c r="F570" s="7" t="n"/>
      <c r="G570" s="7" t="n"/>
      <c r="H570" s="3">
        <f>IFERROR(VLOOKUP(B570,Inventory!$A:$B,2,FALSE)*D570,0)</f>
        <v/>
      </c>
      <c r="I570" s="3">
        <f>IF(C570="",0,IFERROR(VLOOKUP(C570,Settings!$A$2:$F$5,2,FALSE)+(E570*D570+F570)*VLOOKUP(C570,Settings!$A$2:$F$5,3,FALSE)/100+(E570*D570+F570)*VLOOKUP(C570,Settings!$A$2:$F$5,4,FALSE)/100+VLOOKUP(C570,Settings!$A$2:$F$5,5,FALSE)+VLOOKUP(C570,Settings!$A$2:$F$5,6,FALSE),0))</f>
        <v/>
      </c>
      <c r="J570" s="3">
        <f>IF(B570="","",IF(ISNA(MATCH(B570,Inventory!$A$2:$A$201,0)),"Check product",E570*D570+F570-I570-G570-H570))</f>
        <v/>
      </c>
      <c r="K570" s="4">
        <f>IF(OR(B570="",NOT(ISNUMBER(J570)),E570*D570+F570=0),"",J570/(E570*D570+F570))</f>
        <v/>
      </c>
    </row>
    <row r="571">
      <c r="A571" s="8" t="n"/>
      <c r="B571" s="6" t="n"/>
      <c r="C571" s="6" t="n"/>
      <c r="D571" s="6" t="n"/>
      <c r="E571" s="7" t="n"/>
      <c r="F571" s="7" t="n"/>
      <c r="G571" s="7" t="n"/>
      <c r="H571" s="3">
        <f>IFERROR(VLOOKUP(B571,Inventory!$A:$B,2,FALSE)*D571,0)</f>
        <v/>
      </c>
      <c r="I571" s="3">
        <f>IF(C571="",0,IFERROR(VLOOKUP(C571,Settings!$A$2:$F$5,2,FALSE)+(E571*D571+F571)*VLOOKUP(C571,Settings!$A$2:$F$5,3,FALSE)/100+(E571*D571+F571)*VLOOKUP(C571,Settings!$A$2:$F$5,4,FALSE)/100+VLOOKUP(C571,Settings!$A$2:$F$5,5,FALSE)+VLOOKUP(C571,Settings!$A$2:$F$5,6,FALSE),0))</f>
        <v/>
      </c>
      <c r="J571" s="3">
        <f>IF(B571="","",IF(ISNA(MATCH(B571,Inventory!$A$2:$A$201,0)),"Check product",E571*D571+F571-I571-G571-H571))</f>
        <v/>
      </c>
      <c r="K571" s="4">
        <f>IF(OR(B571="",NOT(ISNUMBER(J571)),E571*D571+F571=0),"",J571/(E571*D571+F571))</f>
        <v/>
      </c>
    </row>
    <row r="572">
      <c r="A572" s="8" t="n"/>
      <c r="B572" s="6" t="n"/>
      <c r="C572" s="6" t="n"/>
      <c r="D572" s="6" t="n"/>
      <c r="E572" s="7" t="n"/>
      <c r="F572" s="7" t="n"/>
      <c r="G572" s="7" t="n"/>
      <c r="H572" s="3">
        <f>IFERROR(VLOOKUP(B572,Inventory!$A:$B,2,FALSE)*D572,0)</f>
        <v/>
      </c>
      <c r="I572" s="3">
        <f>IF(C572="",0,IFERROR(VLOOKUP(C572,Settings!$A$2:$F$5,2,FALSE)+(E572*D572+F572)*VLOOKUP(C572,Settings!$A$2:$F$5,3,FALSE)/100+(E572*D572+F572)*VLOOKUP(C572,Settings!$A$2:$F$5,4,FALSE)/100+VLOOKUP(C572,Settings!$A$2:$F$5,5,FALSE)+VLOOKUP(C572,Settings!$A$2:$F$5,6,FALSE),0))</f>
        <v/>
      </c>
      <c r="J572" s="3">
        <f>IF(B572="","",IF(ISNA(MATCH(B572,Inventory!$A$2:$A$201,0)),"Check product",E572*D572+F572-I572-G572-H572))</f>
        <v/>
      </c>
      <c r="K572" s="4">
        <f>IF(OR(B572="",NOT(ISNUMBER(J572)),E572*D572+F572=0),"",J572/(E572*D572+F572))</f>
        <v/>
      </c>
    </row>
    <row r="573">
      <c r="A573" s="8" t="n"/>
      <c r="B573" s="6" t="n"/>
      <c r="C573" s="6" t="n"/>
      <c r="D573" s="6" t="n"/>
      <c r="E573" s="7" t="n"/>
      <c r="F573" s="7" t="n"/>
      <c r="G573" s="7" t="n"/>
      <c r="H573" s="3">
        <f>IFERROR(VLOOKUP(B573,Inventory!$A:$B,2,FALSE)*D573,0)</f>
        <v/>
      </c>
      <c r="I573" s="3">
        <f>IF(C573="",0,IFERROR(VLOOKUP(C573,Settings!$A$2:$F$5,2,FALSE)+(E573*D573+F573)*VLOOKUP(C573,Settings!$A$2:$F$5,3,FALSE)/100+(E573*D573+F573)*VLOOKUP(C573,Settings!$A$2:$F$5,4,FALSE)/100+VLOOKUP(C573,Settings!$A$2:$F$5,5,FALSE)+VLOOKUP(C573,Settings!$A$2:$F$5,6,FALSE),0))</f>
        <v/>
      </c>
      <c r="J573" s="3">
        <f>IF(B573="","",IF(ISNA(MATCH(B573,Inventory!$A$2:$A$201,0)),"Check product",E573*D573+F573-I573-G573-H573))</f>
        <v/>
      </c>
      <c r="K573" s="4">
        <f>IF(OR(B573="",NOT(ISNUMBER(J573)),E573*D573+F573=0),"",J573/(E573*D573+F573))</f>
        <v/>
      </c>
    </row>
    <row r="574">
      <c r="A574" s="8" t="n"/>
      <c r="B574" s="6" t="n"/>
      <c r="C574" s="6" t="n"/>
      <c r="D574" s="6" t="n"/>
      <c r="E574" s="7" t="n"/>
      <c r="F574" s="7" t="n"/>
      <c r="G574" s="7" t="n"/>
      <c r="H574" s="3">
        <f>IFERROR(VLOOKUP(B574,Inventory!$A:$B,2,FALSE)*D574,0)</f>
        <v/>
      </c>
      <c r="I574" s="3">
        <f>IF(C574="",0,IFERROR(VLOOKUP(C574,Settings!$A$2:$F$5,2,FALSE)+(E574*D574+F574)*VLOOKUP(C574,Settings!$A$2:$F$5,3,FALSE)/100+(E574*D574+F574)*VLOOKUP(C574,Settings!$A$2:$F$5,4,FALSE)/100+VLOOKUP(C574,Settings!$A$2:$F$5,5,FALSE)+VLOOKUP(C574,Settings!$A$2:$F$5,6,FALSE),0))</f>
        <v/>
      </c>
      <c r="J574" s="3">
        <f>IF(B574="","",IF(ISNA(MATCH(B574,Inventory!$A$2:$A$201,0)),"Check product",E574*D574+F574-I574-G574-H574))</f>
        <v/>
      </c>
      <c r="K574" s="4">
        <f>IF(OR(B574="",NOT(ISNUMBER(J574)),E574*D574+F574=0),"",J574/(E574*D574+F574))</f>
        <v/>
      </c>
    </row>
    <row r="575">
      <c r="A575" s="8" t="n"/>
      <c r="B575" s="6" t="n"/>
      <c r="C575" s="6" t="n"/>
      <c r="D575" s="6" t="n"/>
      <c r="E575" s="7" t="n"/>
      <c r="F575" s="7" t="n"/>
      <c r="G575" s="7" t="n"/>
      <c r="H575" s="3">
        <f>IFERROR(VLOOKUP(B575,Inventory!$A:$B,2,FALSE)*D575,0)</f>
        <v/>
      </c>
      <c r="I575" s="3">
        <f>IF(C575="",0,IFERROR(VLOOKUP(C575,Settings!$A$2:$F$5,2,FALSE)+(E575*D575+F575)*VLOOKUP(C575,Settings!$A$2:$F$5,3,FALSE)/100+(E575*D575+F575)*VLOOKUP(C575,Settings!$A$2:$F$5,4,FALSE)/100+VLOOKUP(C575,Settings!$A$2:$F$5,5,FALSE)+VLOOKUP(C575,Settings!$A$2:$F$5,6,FALSE),0))</f>
        <v/>
      </c>
      <c r="J575" s="3">
        <f>IF(B575="","",IF(ISNA(MATCH(B575,Inventory!$A$2:$A$201,0)),"Check product",E575*D575+F575-I575-G575-H575))</f>
        <v/>
      </c>
      <c r="K575" s="4">
        <f>IF(OR(B575="",NOT(ISNUMBER(J575)),E575*D575+F575=0),"",J575/(E575*D575+F575))</f>
        <v/>
      </c>
    </row>
    <row r="576">
      <c r="A576" s="8" t="n"/>
      <c r="B576" s="6" t="n"/>
      <c r="C576" s="6" t="n"/>
      <c r="D576" s="6" t="n"/>
      <c r="E576" s="7" t="n"/>
      <c r="F576" s="7" t="n"/>
      <c r="G576" s="7" t="n"/>
      <c r="H576" s="3">
        <f>IFERROR(VLOOKUP(B576,Inventory!$A:$B,2,FALSE)*D576,0)</f>
        <v/>
      </c>
      <c r="I576" s="3">
        <f>IF(C576="",0,IFERROR(VLOOKUP(C576,Settings!$A$2:$F$5,2,FALSE)+(E576*D576+F576)*VLOOKUP(C576,Settings!$A$2:$F$5,3,FALSE)/100+(E576*D576+F576)*VLOOKUP(C576,Settings!$A$2:$F$5,4,FALSE)/100+VLOOKUP(C576,Settings!$A$2:$F$5,5,FALSE)+VLOOKUP(C576,Settings!$A$2:$F$5,6,FALSE),0))</f>
        <v/>
      </c>
      <c r="J576" s="3">
        <f>IF(B576="","",IF(ISNA(MATCH(B576,Inventory!$A$2:$A$201,0)),"Check product",E576*D576+F576-I576-G576-H576))</f>
        <v/>
      </c>
      <c r="K576" s="4">
        <f>IF(OR(B576="",NOT(ISNUMBER(J576)),E576*D576+F576=0),"",J576/(E576*D576+F576))</f>
        <v/>
      </c>
    </row>
    <row r="577">
      <c r="A577" s="8" t="n"/>
      <c r="B577" s="6" t="n"/>
      <c r="C577" s="6" t="n"/>
      <c r="D577" s="6" t="n"/>
      <c r="E577" s="7" t="n"/>
      <c r="F577" s="7" t="n"/>
      <c r="G577" s="7" t="n"/>
      <c r="H577" s="3">
        <f>IFERROR(VLOOKUP(B577,Inventory!$A:$B,2,FALSE)*D577,0)</f>
        <v/>
      </c>
      <c r="I577" s="3">
        <f>IF(C577="",0,IFERROR(VLOOKUP(C577,Settings!$A$2:$F$5,2,FALSE)+(E577*D577+F577)*VLOOKUP(C577,Settings!$A$2:$F$5,3,FALSE)/100+(E577*D577+F577)*VLOOKUP(C577,Settings!$A$2:$F$5,4,FALSE)/100+VLOOKUP(C577,Settings!$A$2:$F$5,5,FALSE)+VLOOKUP(C577,Settings!$A$2:$F$5,6,FALSE),0))</f>
        <v/>
      </c>
      <c r="J577" s="3">
        <f>IF(B577="","",IF(ISNA(MATCH(B577,Inventory!$A$2:$A$201,0)),"Check product",E577*D577+F577-I577-G577-H577))</f>
        <v/>
      </c>
      <c r="K577" s="4">
        <f>IF(OR(B577="",NOT(ISNUMBER(J577)),E577*D577+F577=0),"",J577/(E577*D577+F577))</f>
        <v/>
      </c>
    </row>
    <row r="578">
      <c r="A578" s="8" t="n"/>
      <c r="B578" s="6" t="n"/>
      <c r="C578" s="6" t="n"/>
      <c r="D578" s="6" t="n"/>
      <c r="E578" s="7" t="n"/>
      <c r="F578" s="7" t="n"/>
      <c r="G578" s="7" t="n"/>
      <c r="H578" s="3">
        <f>IFERROR(VLOOKUP(B578,Inventory!$A:$B,2,FALSE)*D578,0)</f>
        <v/>
      </c>
      <c r="I578" s="3">
        <f>IF(C578="",0,IFERROR(VLOOKUP(C578,Settings!$A$2:$F$5,2,FALSE)+(E578*D578+F578)*VLOOKUP(C578,Settings!$A$2:$F$5,3,FALSE)/100+(E578*D578+F578)*VLOOKUP(C578,Settings!$A$2:$F$5,4,FALSE)/100+VLOOKUP(C578,Settings!$A$2:$F$5,5,FALSE)+VLOOKUP(C578,Settings!$A$2:$F$5,6,FALSE),0))</f>
        <v/>
      </c>
      <c r="J578" s="3">
        <f>IF(B578="","",IF(ISNA(MATCH(B578,Inventory!$A$2:$A$201,0)),"Check product",E578*D578+F578-I578-G578-H578))</f>
        <v/>
      </c>
      <c r="K578" s="4">
        <f>IF(OR(B578="",NOT(ISNUMBER(J578)),E578*D578+F578=0),"",J578/(E578*D578+F578))</f>
        <v/>
      </c>
    </row>
    <row r="579">
      <c r="A579" s="8" t="n"/>
      <c r="B579" s="6" t="n"/>
      <c r="C579" s="6" t="n"/>
      <c r="D579" s="6" t="n"/>
      <c r="E579" s="7" t="n"/>
      <c r="F579" s="7" t="n"/>
      <c r="G579" s="7" t="n"/>
      <c r="H579" s="3">
        <f>IFERROR(VLOOKUP(B579,Inventory!$A:$B,2,FALSE)*D579,0)</f>
        <v/>
      </c>
      <c r="I579" s="3">
        <f>IF(C579="",0,IFERROR(VLOOKUP(C579,Settings!$A$2:$F$5,2,FALSE)+(E579*D579+F579)*VLOOKUP(C579,Settings!$A$2:$F$5,3,FALSE)/100+(E579*D579+F579)*VLOOKUP(C579,Settings!$A$2:$F$5,4,FALSE)/100+VLOOKUP(C579,Settings!$A$2:$F$5,5,FALSE)+VLOOKUP(C579,Settings!$A$2:$F$5,6,FALSE),0))</f>
        <v/>
      </c>
      <c r="J579" s="3">
        <f>IF(B579="","",IF(ISNA(MATCH(B579,Inventory!$A$2:$A$201,0)),"Check product",E579*D579+F579-I579-G579-H579))</f>
        <v/>
      </c>
      <c r="K579" s="4">
        <f>IF(OR(B579="",NOT(ISNUMBER(J579)),E579*D579+F579=0),"",J579/(E579*D579+F579))</f>
        <v/>
      </c>
    </row>
    <row r="580">
      <c r="A580" s="8" t="n"/>
      <c r="B580" s="6" t="n"/>
      <c r="C580" s="6" t="n"/>
      <c r="D580" s="6" t="n"/>
      <c r="E580" s="7" t="n"/>
      <c r="F580" s="7" t="n"/>
      <c r="G580" s="7" t="n"/>
      <c r="H580" s="3">
        <f>IFERROR(VLOOKUP(B580,Inventory!$A:$B,2,FALSE)*D580,0)</f>
        <v/>
      </c>
      <c r="I580" s="3">
        <f>IF(C580="",0,IFERROR(VLOOKUP(C580,Settings!$A$2:$F$5,2,FALSE)+(E580*D580+F580)*VLOOKUP(C580,Settings!$A$2:$F$5,3,FALSE)/100+(E580*D580+F580)*VLOOKUP(C580,Settings!$A$2:$F$5,4,FALSE)/100+VLOOKUP(C580,Settings!$A$2:$F$5,5,FALSE)+VLOOKUP(C580,Settings!$A$2:$F$5,6,FALSE),0))</f>
        <v/>
      </c>
      <c r="J580" s="3">
        <f>IF(B580="","",IF(ISNA(MATCH(B580,Inventory!$A$2:$A$201,0)),"Check product",E580*D580+F580-I580-G580-H580))</f>
        <v/>
      </c>
      <c r="K580" s="4">
        <f>IF(OR(B580="",NOT(ISNUMBER(J580)),E580*D580+F580=0),"",J580/(E580*D580+F580))</f>
        <v/>
      </c>
    </row>
    <row r="581">
      <c r="A581" s="8" t="n"/>
      <c r="B581" s="6" t="n"/>
      <c r="C581" s="6" t="n"/>
      <c r="D581" s="6" t="n"/>
      <c r="E581" s="7" t="n"/>
      <c r="F581" s="7" t="n"/>
      <c r="G581" s="7" t="n"/>
      <c r="H581" s="3">
        <f>IFERROR(VLOOKUP(B581,Inventory!$A:$B,2,FALSE)*D581,0)</f>
        <v/>
      </c>
      <c r="I581" s="3">
        <f>IF(C581="",0,IFERROR(VLOOKUP(C581,Settings!$A$2:$F$5,2,FALSE)+(E581*D581+F581)*VLOOKUP(C581,Settings!$A$2:$F$5,3,FALSE)/100+(E581*D581+F581)*VLOOKUP(C581,Settings!$A$2:$F$5,4,FALSE)/100+VLOOKUP(C581,Settings!$A$2:$F$5,5,FALSE)+VLOOKUP(C581,Settings!$A$2:$F$5,6,FALSE),0))</f>
        <v/>
      </c>
      <c r="J581" s="3">
        <f>IF(B581="","",IF(ISNA(MATCH(B581,Inventory!$A$2:$A$201,0)),"Check product",E581*D581+F581-I581-G581-H581))</f>
        <v/>
      </c>
      <c r="K581" s="4">
        <f>IF(OR(B581="",NOT(ISNUMBER(J581)),E581*D581+F581=0),"",J581/(E581*D581+F581))</f>
        <v/>
      </c>
    </row>
    <row r="582">
      <c r="A582" s="8" t="n"/>
      <c r="B582" s="6" t="n"/>
      <c r="C582" s="6" t="n"/>
      <c r="D582" s="6" t="n"/>
      <c r="E582" s="7" t="n"/>
      <c r="F582" s="7" t="n"/>
      <c r="G582" s="7" t="n"/>
      <c r="H582" s="3">
        <f>IFERROR(VLOOKUP(B582,Inventory!$A:$B,2,FALSE)*D582,0)</f>
        <v/>
      </c>
      <c r="I582" s="3">
        <f>IF(C582="",0,IFERROR(VLOOKUP(C582,Settings!$A$2:$F$5,2,FALSE)+(E582*D582+F582)*VLOOKUP(C582,Settings!$A$2:$F$5,3,FALSE)/100+(E582*D582+F582)*VLOOKUP(C582,Settings!$A$2:$F$5,4,FALSE)/100+VLOOKUP(C582,Settings!$A$2:$F$5,5,FALSE)+VLOOKUP(C582,Settings!$A$2:$F$5,6,FALSE),0))</f>
        <v/>
      </c>
      <c r="J582" s="3">
        <f>IF(B582="","",IF(ISNA(MATCH(B582,Inventory!$A$2:$A$201,0)),"Check product",E582*D582+F582-I582-G582-H582))</f>
        <v/>
      </c>
      <c r="K582" s="4">
        <f>IF(OR(B582="",NOT(ISNUMBER(J582)),E582*D582+F582=0),"",J582/(E582*D582+F582))</f>
        <v/>
      </c>
    </row>
    <row r="583">
      <c r="A583" s="8" t="n"/>
      <c r="B583" s="6" t="n"/>
      <c r="C583" s="6" t="n"/>
      <c r="D583" s="6" t="n"/>
      <c r="E583" s="7" t="n"/>
      <c r="F583" s="7" t="n"/>
      <c r="G583" s="7" t="n"/>
      <c r="H583" s="3">
        <f>IFERROR(VLOOKUP(B583,Inventory!$A:$B,2,FALSE)*D583,0)</f>
        <v/>
      </c>
      <c r="I583" s="3">
        <f>IF(C583="",0,IFERROR(VLOOKUP(C583,Settings!$A$2:$F$5,2,FALSE)+(E583*D583+F583)*VLOOKUP(C583,Settings!$A$2:$F$5,3,FALSE)/100+(E583*D583+F583)*VLOOKUP(C583,Settings!$A$2:$F$5,4,FALSE)/100+VLOOKUP(C583,Settings!$A$2:$F$5,5,FALSE)+VLOOKUP(C583,Settings!$A$2:$F$5,6,FALSE),0))</f>
        <v/>
      </c>
      <c r="J583" s="3">
        <f>IF(B583="","",IF(ISNA(MATCH(B583,Inventory!$A$2:$A$201,0)),"Check product",E583*D583+F583-I583-G583-H583))</f>
        <v/>
      </c>
      <c r="K583" s="4">
        <f>IF(OR(B583="",NOT(ISNUMBER(J583)),E583*D583+F583=0),"",J583/(E583*D583+F583))</f>
        <v/>
      </c>
    </row>
    <row r="584">
      <c r="A584" s="8" t="n"/>
      <c r="B584" s="6" t="n"/>
      <c r="C584" s="6" t="n"/>
      <c r="D584" s="6" t="n"/>
      <c r="E584" s="7" t="n"/>
      <c r="F584" s="7" t="n"/>
      <c r="G584" s="7" t="n"/>
      <c r="H584" s="3">
        <f>IFERROR(VLOOKUP(B584,Inventory!$A:$B,2,FALSE)*D584,0)</f>
        <v/>
      </c>
      <c r="I584" s="3">
        <f>IF(C584="",0,IFERROR(VLOOKUP(C584,Settings!$A$2:$F$5,2,FALSE)+(E584*D584+F584)*VLOOKUP(C584,Settings!$A$2:$F$5,3,FALSE)/100+(E584*D584+F584)*VLOOKUP(C584,Settings!$A$2:$F$5,4,FALSE)/100+VLOOKUP(C584,Settings!$A$2:$F$5,5,FALSE)+VLOOKUP(C584,Settings!$A$2:$F$5,6,FALSE),0))</f>
        <v/>
      </c>
      <c r="J584" s="3">
        <f>IF(B584="","",IF(ISNA(MATCH(B584,Inventory!$A$2:$A$201,0)),"Check product",E584*D584+F584-I584-G584-H584))</f>
        <v/>
      </c>
      <c r="K584" s="4">
        <f>IF(OR(B584="",NOT(ISNUMBER(J584)),E584*D584+F584=0),"",J584/(E584*D584+F584))</f>
        <v/>
      </c>
    </row>
    <row r="585">
      <c r="A585" s="8" t="n"/>
      <c r="B585" s="6" t="n"/>
      <c r="C585" s="6" t="n"/>
      <c r="D585" s="6" t="n"/>
      <c r="E585" s="7" t="n"/>
      <c r="F585" s="7" t="n"/>
      <c r="G585" s="7" t="n"/>
      <c r="H585" s="3">
        <f>IFERROR(VLOOKUP(B585,Inventory!$A:$B,2,FALSE)*D585,0)</f>
        <v/>
      </c>
      <c r="I585" s="3">
        <f>IF(C585="",0,IFERROR(VLOOKUP(C585,Settings!$A$2:$F$5,2,FALSE)+(E585*D585+F585)*VLOOKUP(C585,Settings!$A$2:$F$5,3,FALSE)/100+(E585*D585+F585)*VLOOKUP(C585,Settings!$A$2:$F$5,4,FALSE)/100+VLOOKUP(C585,Settings!$A$2:$F$5,5,FALSE)+VLOOKUP(C585,Settings!$A$2:$F$5,6,FALSE),0))</f>
        <v/>
      </c>
      <c r="J585" s="3">
        <f>IF(B585="","",IF(ISNA(MATCH(B585,Inventory!$A$2:$A$201,0)),"Check product",E585*D585+F585-I585-G585-H585))</f>
        <v/>
      </c>
      <c r="K585" s="4">
        <f>IF(OR(B585="",NOT(ISNUMBER(J585)),E585*D585+F585=0),"",J585/(E585*D585+F585))</f>
        <v/>
      </c>
    </row>
    <row r="586">
      <c r="A586" s="8" t="n"/>
      <c r="B586" s="6" t="n"/>
      <c r="C586" s="6" t="n"/>
      <c r="D586" s="6" t="n"/>
      <c r="E586" s="7" t="n"/>
      <c r="F586" s="7" t="n"/>
      <c r="G586" s="7" t="n"/>
      <c r="H586" s="3">
        <f>IFERROR(VLOOKUP(B586,Inventory!$A:$B,2,FALSE)*D586,0)</f>
        <v/>
      </c>
      <c r="I586" s="3">
        <f>IF(C586="",0,IFERROR(VLOOKUP(C586,Settings!$A$2:$F$5,2,FALSE)+(E586*D586+F586)*VLOOKUP(C586,Settings!$A$2:$F$5,3,FALSE)/100+(E586*D586+F586)*VLOOKUP(C586,Settings!$A$2:$F$5,4,FALSE)/100+VLOOKUP(C586,Settings!$A$2:$F$5,5,FALSE)+VLOOKUP(C586,Settings!$A$2:$F$5,6,FALSE),0))</f>
        <v/>
      </c>
      <c r="J586" s="3">
        <f>IF(B586="","",IF(ISNA(MATCH(B586,Inventory!$A$2:$A$201,0)),"Check product",E586*D586+F586-I586-G586-H586))</f>
        <v/>
      </c>
      <c r="K586" s="4">
        <f>IF(OR(B586="",NOT(ISNUMBER(J586)),E586*D586+F586=0),"",J586/(E586*D586+F586))</f>
        <v/>
      </c>
    </row>
    <row r="587">
      <c r="A587" s="8" t="n"/>
      <c r="B587" s="6" t="n"/>
      <c r="C587" s="6" t="n"/>
      <c r="D587" s="6" t="n"/>
      <c r="E587" s="7" t="n"/>
      <c r="F587" s="7" t="n"/>
      <c r="G587" s="7" t="n"/>
      <c r="H587" s="3">
        <f>IFERROR(VLOOKUP(B587,Inventory!$A:$B,2,FALSE)*D587,0)</f>
        <v/>
      </c>
      <c r="I587" s="3">
        <f>IF(C587="",0,IFERROR(VLOOKUP(C587,Settings!$A$2:$F$5,2,FALSE)+(E587*D587+F587)*VLOOKUP(C587,Settings!$A$2:$F$5,3,FALSE)/100+(E587*D587+F587)*VLOOKUP(C587,Settings!$A$2:$F$5,4,FALSE)/100+VLOOKUP(C587,Settings!$A$2:$F$5,5,FALSE)+VLOOKUP(C587,Settings!$A$2:$F$5,6,FALSE),0))</f>
        <v/>
      </c>
      <c r="J587" s="3">
        <f>IF(B587="","",IF(ISNA(MATCH(B587,Inventory!$A$2:$A$201,0)),"Check product",E587*D587+F587-I587-G587-H587))</f>
        <v/>
      </c>
      <c r="K587" s="4">
        <f>IF(OR(B587="",NOT(ISNUMBER(J587)),E587*D587+F587=0),"",J587/(E587*D587+F587))</f>
        <v/>
      </c>
    </row>
    <row r="588">
      <c r="A588" s="8" t="n"/>
      <c r="B588" s="6" t="n"/>
      <c r="C588" s="6" t="n"/>
      <c r="D588" s="6" t="n"/>
      <c r="E588" s="7" t="n"/>
      <c r="F588" s="7" t="n"/>
      <c r="G588" s="7" t="n"/>
      <c r="H588" s="3">
        <f>IFERROR(VLOOKUP(B588,Inventory!$A:$B,2,FALSE)*D588,0)</f>
        <v/>
      </c>
      <c r="I588" s="3">
        <f>IF(C588="",0,IFERROR(VLOOKUP(C588,Settings!$A$2:$F$5,2,FALSE)+(E588*D588+F588)*VLOOKUP(C588,Settings!$A$2:$F$5,3,FALSE)/100+(E588*D588+F588)*VLOOKUP(C588,Settings!$A$2:$F$5,4,FALSE)/100+VLOOKUP(C588,Settings!$A$2:$F$5,5,FALSE)+VLOOKUP(C588,Settings!$A$2:$F$5,6,FALSE),0))</f>
        <v/>
      </c>
      <c r="J588" s="3">
        <f>IF(B588="","",IF(ISNA(MATCH(B588,Inventory!$A$2:$A$201,0)),"Check product",E588*D588+F588-I588-G588-H588))</f>
        <v/>
      </c>
      <c r="K588" s="4">
        <f>IF(OR(B588="",NOT(ISNUMBER(J588)),E588*D588+F588=0),"",J588/(E588*D588+F588))</f>
        <v/>
      </c>
    </row>
    <row r="589">
      <c r="A589" s="8" t="n"/>
      <c r="B589" s="6" t="n"/>
      <c r="C589" s="6" t="n"/>
      <c r="D589" s="6" t="n"/>
      <c r="E589" s="7" t="n"/>
      <c r="F589" s="7" t="n"/>
      <c r="G589" s="7" t="n"/>
      <c r="H589" s="3">
        <f>IFERROR(VLOOKUP(B589,Inventory!$A:$B,2,FALSE)*D589,0)</f>
        <v/>
      </c>
      <c r="I589" s="3">
        <f>IF(C589="",0,IFERROR(VLOOKUP(C589,Settings!$A$2:$F$5,2,FALSE)+(E589*D589+F589)*VLOOKUP(C589,Settings!$A$2:$F$5,3,FALSE)/100+(E589*D589+F589)*VLOOKUP(C589,Settings!$A$2:$F$5,4,FALSE)/100+VLOOKUP(C589,Settings!$A$2:$F$5,5,FALSE)+VLOOKUP(C589,Settings!$A$2:$F$5,6,FALSE),0))</f>
        <v/>
      </c>
      <c r="J589" s="3">
        <f>IF(B589="","",IF(ISNA(MATCH(B589,Inventory!$A$2:$A$201,0)),"Check product",E589*D589+F589-I589-G589-H589))</f>
        <v/>
      </c>
      <c r="K589" s="4">
        <f>IF(OR(B589="",NOT(ISNUMBER(J589)),E589*D589+F589=0),"",J589/(E589*D589+F589))</f>
        <v/>
      </c>
    </row>
    <row r="590">
      <c r="A590" s="8" t="n"/>
      <c r="B590" s="6" t="n"/>
      <c r="C590" s="6" t="n"/>
      <c r="D590" s="6" t="n"/>
      <c r="E590" s="7" t="n"/>
      <c r="F590" s="7" t="n"/>
      <c r="G590" s="7" t="n"/>
      <c r="H590" s="3">
        <f>IFERROR(VLOOKUP(B590,Inventory!$A:$B,2,FALSE)*D590,0)</f>
        <v/>
      </c>
      <c r="I590" s="3">
        <f>IF(C590="",0,IFERROR(VLOOKUP(C590,Settings!$A$2:$F$5,2,FALSE)+(E590*D590+F590)*VLOOKUP(C590,Settings!$A$2:$F$5,3,FALSE)/100+(E590*D590+F590)*VLOOKUP(C590,Settings!$A$2:$F$5,4,FALSE)/100+VLOOKUP(C590,Settings!$A$2:$F$5,5,FALSE)+VLOOKUP(C590,Settings!$A$2:$F$5,6,FALSE),0))</f>
        <v/>
      </c>
      <c r="J590" s="3">
        <f>IF(B590="","",IF(ISNA(MATCH(B590,Inventory!$A$2:$A$201,0)),"Check product",E590*D590+F590-I590-G590-H590))</f>
        <v/>
      </c>
      <c r="K590" s="4">
        <f>IF(OR(B590="",NOT(ISNUMBER(J590)),E590*D590+F590=0),"",J590/(E590*D590+F590))</f>
        <v/>
      </c>
    </row>
    <row r="591">
      <c r="A591" s="8" t="n"/>
      <c r="B591" s="6" t="n"/>
      <c r="C591" s="6" t="n"/>
      <c r="D591" s="6" t="n"/>
      <c r="E591" s="7" t="n"/>
      <c r="F591" s="7" t="n"/>
      <c r="G591" s="7" t="n"/>
      <c r="H591" s="3">
        <f>IFERROR(VLOOKUP(B591,Inventory!$A:$B,2,FALSE)*D591,0)</f>
        <v/>
      </c>
      <c r="I591" s="3">
        <f>IF(C591="",0,IFERROR(VLOOKUP(C591,Settings!$A$2:$F$5,2,FALSE)+(E591*D591+F591)*VLOOKUP(C591,Settings!$A$2:$F$5,3,FALSE)/100+(E591*D591+F591)*VLOOKUP(C591,Settings!$A$2:$F$5,4,FALSE)/100+VLOOKUP(C591,Settings!$A$2:$F$5,5,FALSE)+VLOOKUP(C591,Settings!$A$2:$F$5,6,FALSE),0))</f>
        <v/>
      </c>
      <c r="J591" s="3">
        <f>IF(B591="","",IF(ISNA(MATCH(B591,Inventory!$A$2:$A$201,0)),"Check product",E591*D591+F591-I591-G591-H591))</f>
        <v/>
      </c>
      <c r="K591" s="4">
        <f>IF(OR(B591="",NOT(ISNUMBER(J591)),E591*D591+F591=0),"",J591/(E591*D591+F591))</f>
        <v/>
      </c>
    </row>
    <row r="592">
      <c r="A592" s="8" t="n"/>
      <c r="B592" s="6" t="n"/>
      <c r="C592" s="6" t="n"/>
      <c r="D592" s="6" t="n"/>
      <c r="E592" s="7" t="n"/>
      <c r="F592" s="7" t="n"/>
      <c r="G592" s="7" t="n"/>
      <c r="H592" s="3">
        <f>IFERROR(VLOOKUP(B592,Inventory!$A:$B,2,FALSE)*D592,0)</f>
        <v/>
      </c>
      <c r="I592" s="3">
        <f>IF(C592="",0,IFERROR(VLOOKUP(C592,Settings!$A$2:$F$5,2,FALSE)+(E592*D592+F592)*VLOOKUP(C592,Settings!$A$2:$F$5,3,FALSE)/100+(E592*D592+F592)*VLOOKUP(C592,Settings!$A$2:$F$5,4,FALSE)/100+VLOOKUP(C592,Settings!$A$2:$F$5,5,FALSE)+VLOOKUP(C592,Settings!$A$2:$F$5,6,FALSE),0))</f>
        <v/>
      </c>
      <c r="J592" s="3">
        <f>IF(B592="","",IF(ISNA(MATCH(B592,Inventory!$A$2:$A$201,0)),"Check product",E592*D592+F592-I592-G592-H592))</f>
        <v/>
      </c>
      <c r="K592" s="4">
        <f>IF(OR(B592="",NOT(ISNUMBER(J592)),E592*D592+F592=0),"",J592/(E592*D592+F592))</f>
        <v/>
      </c>
    </row>
    <row r="593">
      <c r="A593" s="8" t="n"/>
      <c r="B593" s="6" t="n"/>
      <c r="C593" s="6" t="n"/>
      <c r="D593" s="6" t="n"/>
      <c r="E593" s="7" t="n"/>
      <c r="F593" s="7" t="n"/>
      <c r="G593" s="7" t="n"/>
      <c r="H593" s="3">
        <f>IFERROR(VLOOKUP(B593,Inventory!$A:$B,2,FALSE)*D593,0)</f>
        <v/>
      </c>
      <c r="I593" s="3">
        <f>IF(C593="",0,IFERROR(VLOOKUP(C593,Settings!$A$2:$F$5,2,FALSE)+(E593*D593+F593)*VLOOKUP(C593,Settings!$A$2:$F$5,3,FALSE)/100+(E593*D593+F593)*VLOOKUP(C593,Settings!$A$2:$F$5,4,FALSE)/100+VLOOKUP(C593,Settings!$A$2:$F$5,5,FALSE)+VLOOKUP(C593,Settings!$A$2:$F$5,6,FALSE),0))</f>
        <v/>
      </c>
      <c r="J593" s="3">
        <f>IF(B593="","",IF(ISNA(MATCH(B593,Inventory!$A$2:$A$201,0)),"Check product",E593*D593+F593-I593-G593-H593))</f>
        <v/>
      </c>
      <c r="K593" s="4">
        <f>IF(OR(B593="",NOT(ISNUMBER(J593)),E593*D593+F593=0),"",J593/(E593*D593+F593))</f>
        <v/>
      </c>
    </row>
    <row r="594">
      <c r="A594" s="8" t="n"/>
      <c r="B594" s="6" t="n"/>
      <c r="C594" s="6" t="n"/>
      <c r="D594" s="6" t="n"/>
      <c r="E594" s="7" t="n"/>
      <c r="F594" s="7" t="n"/>
      <c r="G594" s="7" t="n"/>
      <c r="H594" s="3">
        <f>IFERROR(VLOOKUP(B594,Inventory!$A:$B,2,FALSE)*D594,0)</f>
        <v/>
      </c>
      <c r="I594" s="3">
        <f>IF(C594="",0,IFERROR(VLOOKUP(C594,Settings!$A$2:$F$5,2,FALSE)+(E594*D594+F594)*VLOOKUP(C594,Settings!$A$2:$F$5,3,FALSE)/100+(E594*D594+F594)*VLOOKUP(C594,Settings!$A$2:$F$5,4,FALSE)/100+VLOOKUP(C594,Settings!$A$2:$F$5,5,FALSE)+VLOOKUP(C594,Settings!$A$2:$F$5,6,FALSE),0))</f>
        <v/>
      </c>
      <c r="J594" s="3">
        <f>IF(B594="","",IF(ISNA(MATCH(B594,Inventory!$A$2:$A$201,0)),"Check product",E594*D594+F594-I594-G594-H594))</f>
        <v/>
      </c>
      <c r="K594" s="4">
        <f>IF(OR(B594="",NOT(ISNUMBER(J594)),E594*D594+F594=0),"",J594/(E594*D594+F594))</f>
        <v/>
      </c>
    </row>
    <row r="595">
      <c r="A595" s="8" t="n"/>
      <c r="B595" s="6" t="n"/>
      <c r="C595" s="6" t="n"/>
      <c r="D595" s="6" t="n"/>
      <c r="E595" s="7" t="n"/>
      <c r="F595" s="7" t="n"/>
      <c r="G595" s="7" t="n"/>
      <c r="H595" s="3">
        <f>IFERROR(VLOOKUP(B595,Inventory!$A:$B,2,FALSE)*D595,0)</f>
        <v/>
      </c>
      <c r="I595" s="3">
        <f>IF(C595="",0,IFERROR(VLOOKUP(C595,Settings!$A$2:$F$5,2,FALSE)+(E595*D595+F595)*VLOOKUP(C595,Settings!$A$2:$F$5,3,FALSE)/100+(E595*D595+F595)*VLOOKUP(C595,Settings!$A$2:$F$5,4,FALSE)/100+VLOOKUP(C595,Settings!$A$2:$F$5,5,FALSE)+VLOOKUP(C595,Settings!$A$2:$F$5,6,FALSE),0))</f>
        <v/>
      </c>
      <c r="J595" s="3">
        <f>IF(B595="","",IF(ISNA(MATCH(B595,Inventory!$A$2:$A$201,0)),"Check product",E595*D595+F595-I595-G595-H595))</f>
        <v/>
      </c>
      <c r="K595" s="4">
        <f>IF(OR(B595="",NOT(ISNUMBER(J595)),E595*D595+F595=0),"",J595/(E595*D595+F595))</f>
        <v/>
      </c>
    </row>
    <row r="596">
      <c r="A596" s="8" t="n"/>
      <c r="B596" s="6" t="n"/>
      <c r="C596" s="6" t="n"/>
      <c r="D596" s="6" t="n"/>
      <c r="E596" s="7" t="n"/>
      <c r="F596" s="7" t="n"/>
      <c r="G596" s="7" t="n"/>
      <c r="H596" s="3">
        <f>IFERROR(VLOOKUP(B596,Inventory!$A:$B,2,FALSE)*D596,0)</f>
        <v/>
      </c>
      <c r="I596" s="3">
        <f>IF(C596="",0,IFERROR(VLOOKUP(C596,Settings!$A$2:$F$5,2,FALSE)+(E596*D596+F596)*VLOOKUP(C596,Settings!$A$2:$F$5,3,FALSE)/100+(E596*D596+F596)*VLOOKUP(C596,Settings!$A$2:$F$5,4,FALSE)/100+VLOOKUP(C596,Settings!$A$2:$F$5,5,FALSE)+VLOOKUP(C596,Settings!$A$2:$F$5,6,FALSE),0))</f>
        <v/>
      </c>
      <c r="J596" s="3">
        <f>IF(B596="","",IF(ISNA(MATCH(B596,Inventory!$A$2:$A$201,0)),"Check product",E596*D596+F596-I596-G596-H596))</f>
        <v/>
      </c>
      <c r="K596" s="4">
        <f>IF(OR(B596="",NOT(ISNUMBER(J596)),E596*D596+F596=0),"",J596/(E596*D596+F596))</f>
        <v/>
      </c>
    </row>
    <row r="597">
      <c r="A597" s="8" t="n"/>
      <c r="B597" s="6" t="n"/>
      <c r="C597" s="6" t="n"/>
      <c r="D597" s="6" t="n"/>
      <c r="E597" s="7" t="n"/>
      <c r="F597" s="7" t="n"/>
      <c r="G597" s="7" t="n"/>
      <c r="H597" s="3">
        <f>IFERROR(VLOOKUP(B597,Inventory!$A:$B,2,FALSE)*D597,0)</f>
        <v/>
      </c>
      <c r="I597" s="3">
        <f>IF(C597="",0,IFERROR(VLOOKUP(C597,Settings!$A$2:$F$5,2,FALSE)+(E597*D597+F597)*VLOOKUP(C597,Settings!$A$2:$F$5,3,FALSE)/100+(E597*D597+F597)*VLOOKUP(C597,Settings!$A$2:$F$5,4,FALSE)/100+VLOOKUP(C597,Settings!$A$2:$F$5,5,FALSE)+VLOOKUP(C597,Settings!$A$2:$F$5,6,FALSE),0))</f>
        <v/>
      </c>
      <c r="J597" s="3">
        <f>IF(B597="","",IF(ISNA(MATCH(B597,Inventory!$A$2:$A$201,0)),"Check product",E597*D597+F597-I597-G597-H597))</f>
        <v/>
      </c>
      <c r="K597" s="4">
        <f>IF(OR(B597="",NOT(ISNUMBER(J597)),E597*D597+F597=0),"",J597/(E597*D597+F597))</f>
        <v/>
      </c>
    </row>
    <row r="598">
      <c r="A598" s="8" t="n"/>
      <c r="B598" s="6" t="n"/>
      <c r="C598" s="6" t="n"/>
      <c r="D598" s="6" t="n"/>
      <c r="E598" s="7" t="n"/>
      <c r="F598" s="7" t="n"/>
      <c r="G598" s="7" t="n"/>
      <c r="H598" s="3">
        <f>IFERROR(VLOOKUP(B598,Inventory!$A:$B,2,FALSE)*D598,0)</f>
        <v/>
      </c>
      <c r="I598" s="3">
        <f>IF(C598="",0,IFERROR(VLOOKUP(C598,Settings!$A$2:$F$5,2,FALSE)+(E598*D598+F598)*VLOOKUP(C598,Settings!$A$2:$F$5,3,FALSE)/100+(E598*D598+F598)*VLOOKUP(C598,Settings!$A$2:$F$5,4,FALSE)/100+VLOOKUP(C598,Settings!$A$2:$F$5,5,FALSE)+VLOOKUP(C598,Settings!$A$2:$F$5,6,FALSE),0))</f>
        <v/>
      </c>
      <c r="J598" s="3">
        <f>IF(B598="","",IF(ISNA(MATCH(B598,Inventory!$A$2:$A$201,0)),"Check product",E598*D598+F598-I598-G598-H598))</f>
        <v/>
      </c>
      <c r="K598" s="4">
        <f>IF(OR(B598="",NOT(ISNUMBER(J598)),E598*D598+F598=0),"",J598/(E598*D598+F598))</f>
        <v/>
      </c>
    </row>
    <row r="599">
      <c r="A599" s="8" t="n"/>
      <c r="B599" s="6" t="n"/>
      <c r="C599" s="6" t="n"/>
      <c r="D599" s="6" t="n"/>
      <c r="E599" s="7" t="n"/>
      <c r="F599" s="7" t="n"/>
      <c r="G599" s="7" t="n"/>
      <c r="H599" s="3">
        <f>IFERROR(VLOOKUP(B599,Inventory!$A:$B,2,FALSE)*D599,0)</f>
        <v/>
      </c>
      <c r="I599" s="3">
        <f>IF(C599="",0,IFERROR(VLOOKUP(C599,Settings!$A$2:$F$5,2,FALSE)+(E599*D599+F599)*VLOOKUP(C599,Settings!$A$2:$F$5,3,FALSE)/100+(E599*D599+F599)*VLOOKUP(C599,Settings!$A$2:$F$5,4,FALSE)/100+VLOOKUP(C599,Settings!$A$2:$F$5,5,FALSE)+VLOOKUP(C599,Settings!$A$2:$F$5,6,FALSE),0))</f>
        <v/>
      </c>
      <c r="J599" s="3">
        <f>IF(B599="","",IF(ISNA(MATCH(B599,Inventory!$A$2:$A$201,0)),"Check product",E599*D599+F599-I599-G599-H599))</f>
        <v/>
      </c>
      <c r="K599" s="4">
        <f>IF(OR(B599="",NOT(ISNUMBER(J599)),E599*D599+F599=0),"",J599/(E599*D599+F599))</f>
        <v/>
      </c>
    </row>
    <row r="600">
      <c r="A600" s="8" t="n"/>
      <c r="B600" s="6" t="n"/>
      <c r="C600" s="6" t="n"/>
      <c r="D600" s="6" t="n"/>
      <c r="E600" s="7" t="n"/>
      <c r="F600" s="7" t="n"/>
      <c r="G600" s="7" t="n"/>
      <c r="H600" s="3">
        <f>IFERROR(VLOOKUP(B600,Inventory!$A:$B,2,FALSE)*D600,0)</f>
        <v/>
      </c>
      <c r="I600" s="3">
        <f>IF(C600="",0,IFERROR(VLOOKUP(C600,Settings!$A$2:$F$5,2,FALSE)+(E600*D600+F600)*VLOOKUP(C600,Settings!$A$2:$F$5,3,FALSE)/100+(E600*D600+F600)*VLOOKUP(C600,Settings!$A$2:$F$5,4,FALSE)/100+VLOOKUP(C600,Settings!$A$2:$F$5,5,FALSE)+VLOOKUP(C600,Settings!$A$2:$F$5,6,FALSE),0))</f>
        <v/>
      </c>
      <c r="J600" s="3">
        <f>IF(B600="","",IF(ISNA(MATCH(B600,Inventory!$A$2:$A$201,0)),"Check product",E600*D600+F600-I600-G600-H600))</f>
        <v/>
      </c>
      <c r="K600" s="4">
        <f>IF(OR(B600="",NOT(ISNUMBER(J600)),E600*D600+F600=0),"",J600/(E600*D600+F600))</f>
        <v/>
      </c>
    </row>
    <row r="601">
      <c r="A601" s="8" t="n"/>
      <c r="B601" s="6" t="n"/>
      <c r="C601" s="6" t="n"/>
      <c r="D601" s="6" t="n"/>
      <c r="E601" s="7" t="n"/>
      <c r="F601" s="7" t="n"/>
      <c r="G601" s="7" t="n"/>
      <c r="H601" s="3">
        <f>IFERROR(VLOOKUP(B601,Inventory!$A:$B,2,FALSE)*D601,0)</f>
        <v/>
      </c>
      <c r="I601" s="3">
        <f>IF(C601="",0,IFERROR(VLOOKUP(C601,Settings!$A$2:$F$5,2,FALSE)+(E601*D601+F601)*VLOOKUP(C601,Settings!$A$2:$F$5,3,FALSE)/100+(E601*D601+F601)*VLOOKUP(C601,Settings!$A$2:$F$5,4,FALSE)/100+VLOOKUP(C601,Settings!$A$2:$F$5,5,FALSE)+VLOOKUP(C601,Settings!$A$2:$F$5,6,FALSE),0))</f>
        <v/>
      </c>
      <c r="J601" s="3">
        <f>IF(B601="","",IF(ISNA(MATCH(B601,Inventory!$A$2:$A$201,0)),"Check product",E601*D601+F601-I601-G601-H601))</f>
        <v/>
      </c>
      <c r="K601" s="4">
        <f>IF(OR(B601="",NOT(ISNUMBER(J601)),E601*D601+F601=0),"",J601/(E601*D601+F601))</f>
        <v/>
      </c>
    </row>
    <row r="602">
      <c r="A602" s="8" t="n"/>
      <c r="B602" s="6" t="n"/>
      <c r="C602" s="6" t="n"/>
      <c r="D602" s="6" t="n"/>
      <c r="E602" s="7" t="n"/>
      <c r="F602" s="7" t="n"/>
      <c r="G602" s="7" t="n"/>
      <c r="H602" s="3">
        <f>IFERROR(VLOOKUP(B602,Inventory!$A:$B,2,FALSE)*D602,0)</f>
        <v/>
      </c>
      <c r="I602" s="3">
        <f>IF(C602="",0,IFERROR(VLOOKUP(C602,Settings!$A$2:$F$5,2,FALSE)+(E602*D602+F602)*VLOOKUP(C602,Settings!$A$2:$F$5,3,FALSE)/100+(E602*D602+F602)*VLOOKUP(C602,Settings!$A$2:$F$5,4,FALSE)/100+VLOOKUP(C602,Settings!$A$2:$F$5,5,FALSE)+VLOOKUP(C602,Settings!$A$2:$F$5,6,FALSE),0))</f>
        <v/>
      </c>
      <c r="J602" s="3">
        <f>IF(B602="","",IF(ISNA(MATCH(B602,Inventory!$A$2:$A$201,0)),"Check product",E602*D602+F602-I602-G602-H602))</f>
        <v/>
      </c>
      <c r="K602" s="4">
        <f>IF(OR(B602="",NOT(ISNUMBER(J602)),E602*D602+F602=0),"",J602/(E602*D602+F602))</f>
        <v/>
      </c>
    </row>
    <row r="603">
      <c r="A603" s="8" t="n"/>
      <c r="B603" s="6" t="n"/>
      <c r="C603" s="6" t="n"/>
      <c r="D603" s="6" t="n"/>
      <c r="E603" s="7" t="n"/>
      <c r="F603" s="7" t="n"/>
      <c r="G603" s="7" t="n"/>
      <c r="H603" s="3">
        <f>IFERROR(VLOOKUP(B603,Inventory!$A:$B,2,FALSE)*D603,0)</f>
        <v/>
      </c>
      <c r="I603" s="3">
        <f>IF(C603="",0,IFERROR(VLOOKUP(C603,Settings!$A$2:$F$5,2,FALSE)+(E603*D603+F603)*VLOOKUP(C603,Settings!$A$2:$F$5,3,FALSE)/100+(E603*D603+F603)*VLOOKUP(C603,Settings!$A$2:$F$5,4,FALSE)/100+VLOOKUP(C603,Settings!$A$2:$F$5,5,FALSE)+VLOOKUP(C603,Settings!$A$2:$F$5,6,FALSE),0))</f>
        <v/>
      </c>
      <c r="J603" s="3">
        <f>IF(B603="","",IF(ISNA(MATCH(B603,Inventory!$A$2:$A$201,0)),"Check product",E603*D603+F603-I603-G603-H603))</f>
        <v/>
      </c>
      <c r="K603" s="4">
        <f>IF(OR(B603="",NOT(ISNUMBER(J603)),E603*D603+F603=0),"",J603/(E603*D603+F603))</f>
        <v/>
      </c>
    </row>
    <row r="604">
      <c r="A604" s="8" t="n"/>
      <c r="B604" s="6" t="n"/>
      <c r="C604" s="6" t="n"/>
      <c r="D604" s="6" t="n"/>
      <c r="E604" s="7" t="n"/>
      <c r="F604" s="7" t="n"/>
      <c r="G604" s="7" t="n"/>
      <c r="H604" s="3">
        <f>IFERROR(VLOOKUP(B604,Inventory!$A:$B,2,FALSE)*D604,0)</f>
        <v/>
      </c>
      <c r="I604" s="3">
        <f>IF(C604="",0,IFERROR(VLOOKUP(C604,Settings!$A$2:$F$5,2,FALSE)+(E604*D604+F604)*VLOOKUP(C604,Settings!$A$2:$F$5,3,FALSE)/100+(E604*D604+F604)*VLOOKUP(C604,Settings!$A$2:$F$5,4,FALSE)/100+VLOOKUP(C604,Settings!$A$2:$F$5,5,FALSE)+VLOOKUP(C604,Settings!$A$2:$F$5,6,FALSE),0))</f>
        <v/>
      </c>
      <c r="J604" s="3">
        <f>IF(B604="","",IF(ISNA(MATCH(B604,Inventory!$A$2:$A$201,0)),"Check product",E604*D604+F604-I604-G604-H604))</f>
        <v/>
      </c>
      <c r="K604" s="4">
        <f>IF(OR(B604="",NOT(ISNUMBER(J604)),E604*D604+F604=0),"",J604/(E604*D604+F604))</f>
        <v/>
      </c>
    </row>
    <row r="605">
      <c r="A605" s="8" t="n"/>
      <c r="B605" s="6" t="n"/>
      <c r="C605" s="6" t="n"/>
      <c r="D605" s="6" t="n"/>
      <c r="E605" s="7" t="n"/>
      <c r="F605" s="7" t="n"/>
      <c r="G605" s="7" t="n"/>
      <c r="H605" s="3">
        <f>IFERROR(VLOOKUP(B605,Inventory!$A:$B,2,FALSE)*D605,0)</f>
        <v/>
      </c>
      <c r="I605" s="3">
        <f>IF(C605="",0,IFERROR(VLOOKUP(C605,Settings!$A$2:$F$5,2,FALSE)+(E605*D605+F605)*VLOOKUP(C605,Settings!$A$2:$F$5,3,FALSE)/100+(E605*D605+F605)*VLOOKUP(C605,Settings!$A$2:$F$5,4,FALSE)/100+VLOOKUP(C605,Settings!$A$2:$F$5,5,FALSE)+VLOOKUP(C605,Settings!$A$2:$F$5,6,FALSE),0))</f>
        <v/>
      </c>
      <c r="J605" s="3">
        <f>IF(B605="","",IF(ISNA(MATCH(B605,Inventory!$A$2:$A$201,0)),"Check product",E605*D605+F605-I605-G605-H605))</f>
        <v/>
      </c>
      <c r="K605" s="4">
        <f>IF(OR(B605="",NOT(ISNUMBER(J605)),E605*D605+F605=0),"",J605/(E605*D605+F605))</f>
        <v/>
      </c>
    </row>
    <row r="606">
      <c r="A606" s="8" t="n"/>
      <c r="B606" s="6" t="n"/>
      <c r="C606" s="6" t="n"/>
      <c r="D606" s="6" t="n"/>
      <c r="E606" s="7" t="n"/>
      <c r="F606" s="7" t="n"/>
      <c r="G606" s="7" t="n"/>
      <c r="H606" s="3">
        <f>IFERROR(VLOOKUP(B606,Inventory!$A:$B,2,FALSE)*D606,0)</f>
        <v/>
      </c>
      <c r="I606" s="3">
        <f>IF(C606="",0,IFERROR(VLOOKUP(C606,Settings!$A$2:$F$5,2,FALSE)+(E606*D606+F606)*VLOOKUP(C606,Settings!$A$2:$F$5,3,FALSE)/100+(E606*D606+F606)*VLOOKUP(C606,Settings!$A$2:$F$5,4,FALSE)/100+VLOOKUP(C606,Settings!$A$2:$F$5,5,FALSE)+VLOOKUP(C606,Settings!$A$2:$F$5,6,FALSE),0))</f>
        <v/>
      </c>
      <c r="J606" s="3">
        <f>IF(B606="","",IF(ISNA(MATCH(B606,Inventory!$A$2:$A$201,0)),"Check product",E606*D606+F606-I606-G606-H606))</f>
        <v/>
      </c>
      <c r="K606" s="4">
        <f>IF(OR(B606="",NOT(ISNUMBER(J606)),E606*D606+F606=0),"",J606/(E606*D606+F606))</f>
        <v/>
      </c>
    </row>
    <row r="607">
      <c r="A607" s="8" t="n"/>
      <c r="B607" s="6" t="n"/>
      <c r="C607" s="6" t="n"/>
      <c r="D607" s="6" t="n"/>
      <c r="E607" s="7" t="n"/>
      <c r="F607" s="7" t="n"/>
      <c r="G607" s="7" t="n"/>
      <c r="H607" s="3">
        <f>IFERROR(VLOOKUP(B607,Inventory!$A:$B,2,FALSE)*D607,0)</f>
        <v/>
      </c>
      <c r="I607" s="3">
        <f>IF(C607="",0,IFERROR(VLOOKUP(C607,Settings!$A$2:$F$5,2,FALSE)+(E607*D607+F607)*VLOOKUP(C607,Settings!$A$2:$F$5,3,FALSE)/100+(E607*D607+F607)*VLOOKUP(C607,Settings!$A$2:$F$5,4,FALSE)/100+VLOOKUP(C607,Settings!$A$2:$F$5,5,FALSE)+VLOOKUP(C607,Settings!$A$2:$F$5,6,FALSE),0))</f>
        <v/>
      </c>
      <c r="J607" s="3">
        <f>IF(B607="","",IF(ISNA(MATCH(B607,Inventory!$A$2:$A$201,0)),"Check product",E607*D607+F607-I607-G607-H607))</f>
        <v/>
      </c>
      <c r="K607" s="4">
        <f>IF(OR(B607="",NOT(ISNUMBER(J607)),E607*D607+F607=0),"",J607/(E607*D607+F607))</f>
        <v/>
      </c>
    </row>
    <row r="608">
      <c r="A608" s="8" t="n"/>
      <c r="B608" s="6" t="n"/>
      <c r="C608" s="6" t="n"/>
      <c r="D608" s="6" t="n"/>
      <c r="E608" s="7" t="n"/>
      <c r="F608" s="7" t="n"/>
      <c r="G608" s="7" t="n"/>
      <c r="H608" s="3">
        <f>IFERROR(VLOOKUP(B608,Inventory!$A:$B,2,FALSE)*D608,0)</f>
        <v/>
      </c>
      <c r="I608" s="3">
        <f>IF(C608="",0,IFERROR(VLOOKUP(C608,Settings!$A$2:$F$5,2,FALSE)+(E608*D608+F608)*VLOOKUP(C608,Settings!$A$2:$F$5,3,FALSE)/100+(E608*D608+F608)*VLOOKUP(C608,Settings!$A$2:$F$5,4,FALSE)/100+VLOOKUP(C608,Settings!$A$2:$F$5,5,FALSE)+VLOOKUP(C608,Settings!$A$2:$F$5,6,FALSE),0))</f>
        <v/>
      </c>
      <c r="J608" s="3">
        <f>IF(B608="","",IF(ISNA(MATCH(B608,Inventory!$A$2:$A$201,0)),"Check product",E608*D608+F608-I608-G608-H608))</f>
        <v/>
      </c>
      <c r="K608" s="4">
        <f>IF(OR(B608="",NOT(ISNUMBER(J608)),E608*D608+F608=0),"",J608/(E608*D608+F608))</f>
        <v/>
      </c>
    </row>
    <row r="609">
      <c r="A609" s="8" t="n"/>
      <c r="B609" s="6" t="n"/>
      <c r="C609" s="6" t="n"/>
      <c r="D609" s="6" t="n"/>
      <c r="E609" s="7" t="n"/>
      <c r="F609" s="7" t="n"/>
      <c r="G609" s="7" t="n"/>
      <c r="H609" s="3">
        <f>IFERROR(VLOOKUP(B609,Inventory!$A:$B,2,FALSE)*D609,0)</f>
        <v/>
      </c>
      <c r="I609" s="3">
        <f>IF(C609="",0,IFERROR(VLOOKUP(C609,Settings!$A$2:$F$5,2,FALSE)+(E609*D609+F609)*VLOOKUP(C609,Settings!$A$2:$F$5,3,FALSE)/100+(E609*D609+F609)*VLOOKUP(C609,Settings!$A$2:$F$5,4,FALSE)/100+VLOOKUP(C609,Settings!$A$2:$F$5,5,FALSE)+VLOOKUP(C609,Settings!$A$2:$F$5,6,FALSE),0))</f>
        <v/>
      </c>
      <c r="J609" s="3">
        <f>IF(B609="","",IF(ISNA(MATCH(B609,Inventory!$A$2:$A$201,0)),"Check product",E609*D609+F609-I609-G609-H609))</f>
        <v/>
      </c>
      <c r="K609" s="4">
        <f>IF(OR(B609="",NOT(ISNUMBER(J609)),E609*D609+F609=0),"",J609/(E609*D609+F609))</f>
        <v/>
      </c>
    </row>
    <row r="610">
      <c r="A610" s="8" t="n"/>
      <c r="B610" s="6" t="n"/>
      <c r="C610" s="6" t="n"/>
      <c r="D610" s="6" t="n"/>
      <c r="E610" s="7" t="n"/>
      <c r="F610" s="7" t="n"/>
      <c r="G610" s="7" t="n"/>
      <c r="H610" s="3">
        <f>IFERROR(VLOOKUP(B610,Inventory!$A:$B,2,FALSE)*D610,0)</f>
        <v/>
      </c>
      <c r="I610" s="3">
        <f>IF(C610="",0,IFERROR(VLOOKUP(C610,Settings!$A$2:$F$5,2,FALSE)+(E610*D610+F610)*VLOOKUP(C610,Settings!$A$2:$F$5,3,FALSE)/100+(E610*D610+F610)*VLOOKUP(C610,Settings!$A$2:$F$5,4,FALSE)/100+VLOOKUP(C610,Settings!$A$2:$F$5,5,FALSE)+VLOOKUP(C610,Settings!$A$2:$F$5,6,FALSE),0))</f>
        <v/>
      </c>
      <c r="J610" s="3">
        <f>IF(B610="","",IF(ISNA(MATCH(B610,Inventory!$A$2:$A$201,0)),"Check product",E610*D610+F610-I610-G610-H610))</f>
        <v/>
      </c>
      <c r="K610" s="4">
        <f>IF(OR(B610="",NOT(ISNUMBER(J610)),E610*D610+F610=0),"",J610/(E610*D610+F610))</f>
        <v/>
      </c>
    </row>
    <row r="611">
      <c r="A611" s="8" t="n"/>
      <c r="B611" s="6" t="n"/>
      <c r="C611" s="6" t="n"/>
      <c r="D611" s="6" t="n"/>
      <c r="E611" s="7" t="n"/>
      <c r="F611" s="7" t="n"/>
      <c r="G611" s="7" t="n"/>
      <c r="H611" s="3">
        <f>IFERROR(VLOOKUP(B611,Inventory!$A:$B,2,FALSE)*D611,0)</f>
        <v/>
      </c>
      <c r="I611" s="3">
        <f>IF(C611="",0,IFERROR(VLOOKUP(C611,Settings!$A$2:$F$5,2,FALSE)+(E611*D611+F611)*VLOOKUP(C611,Settings!$A$2:$F$5,3,FALSE)/100+(E611*D611+F611)*VLOOKUP(C611,Settings!$A$2:$F$5,4,FALSE)/100+VLOOKUP(C611,Settings!$A$2:$F$5,5,FALSE)+VLOOKUP(C611,Settings!$A$2:$F$5,6,FALSE),0))</f>
        <v/>
      </c>
      <c r="J611" s="3">
        <f>IF(B611="","",IF(ISNA(MATCH(B611,Inventory!$A$2:$A$201,0)),"Check product",E611*D611+F611-I611-G611-H611))</f>
        <v/>
      </c>
      <c r="K611" s="4">
        <f>IF(OR(B611="",NOT(ISNUMBER(J611)),E611*D611+F611=0),"",J611/(E611*D611+F611))</f>
        <v/>
      </c>
    </row>
    <row r="612">
      <c r="A612" s="8" t="n"/>
      <c r="B612" s="6" t="n"/>
      <c r="C612" s="6" t="n"/>
      <c r="D612" s="6" t="n"/>
      <c r="E612" s="7" t="n"/>
      <c r="F612" s="7" t="n"/>
      <c r="G612" s="7" t="n"/>
      <c r="H612" s="3">
        <f>IFERROR(VLOOKUP(B612,Inventory!$A:$B,2,FALSE)*D612,0)</f>
        <v/>
      </c>
      <c r="I612" s="3">
        <f>IF(C612="",0,IFERROR(VLOOKUP(C612,Settings!$A$2:$F$5,2,FALSE)+(E612*D612+F612)*VLOOKUP(C612,Settings!$A$2:$F$5,3,FALSE)/100+(E612*D612+F612)*VLOOKUP(C612,Settings!$A$2:$F$5,4,FALSE)/100+VLOOKUP(C612,Settings!$A$2:$F$5,5,FALSE)+VLOOKUP(C612,Settings!$A$2:$F$5,6,FALSE),0))</f>
        <v/>
      </c>
      <c r="J612" s="3">
        <f>IF(B612="","",IF(ISNA(MATCH(B612,Inventory!$A$2:$A$201,0)),"Check product",E612*D612+F612-I612-G612-H612))</f>
        <v/>
      </c>
      <c r="K612" s="4">
        <f>IF(OR(B612="",NOT(ISNUMBER(J612)),E612*D612+F612=0),"",J612/(E612*D612+F612))</f>
        <v/>
      </c>
    </row>
    <row r="613">
      <c r="A613" s="8" t="n"/>
      <c r="B613" s="6" t="n"/>
      <c r="C613" s="6" t="n"/>
      <c r="D613" s="6" t="n"/>
      <c r="E613" s="7" t="n"/>
      <c r="F613" s="7" t="n"/>
      <c r="G613" s="7" t="n"/>
      <c r="H613" s="3">
        <f>IFERROR(VLOOKUP(B613,Inventory!$A:$B,2,FALSE)*D613,0)</f>
        <v/>
      </c>
      <c r="I613" s="3">
        <f>IF(C613="",0,IFERROR(VLOOKUP(C613,Settings!$A$2:$F$5,2,FALSE)+(E613*D613+F613)*VLOOKUP(C613,Settings!$A$2:$F$5,3,FALSE)/100+(E613*D613+F613)*VLOOKUP(C613,Settings!$A$2:$F$5,4,FALSE)/100+VLOOKUP(C613,Settings!$A$2:$F$5,5,FALSE)+VLOOKUP(C613,Settings!$A$2:$F$5,6,FALSE),0))</f>
        <v/>
      </c>
      <c r="J613" s="3">
        <f>IF(B613="","",IF(ISNA(MATCH(B613,Inventory!$A$2:$A$201,0)),"Check product",E613*D613+F613-I613-G613-H613))</f>
        <v/>
      </c>
      <c r="K613" s="4">
        <f>IF(OR(B613="",NOT(ISNUMBER(J613)),E613*D613+F613=0),"",J613/(E613*D613+F613))</f>
        <v/>
      </c>
    </row>
    <row r="614">
      <c r="A614" s="8" t="n"/>
      <c r="B614" s="6" t="n"/>
      <c r="C614" s="6" t="n"/>
      <c r="D614" s="6" t="n"/>
      <c r="E614" s="7" t="n"/>
      <c r="F614" s="7" t="n"/>
      <c r="G614" s="7" t="n"/>
      <c r="H614" s="3">
        <f>IFERROR(VLOOKUP(B614,Inventory!$A:$B,2,FALSE)*D614,0)</f>
        <v/>
      </c>
      <c r="I614" s="3">
        <f>IF(C614="",0,IFERROR(VLOOKUP(C614,Settings!$A$2:$F$5,2,FALSE)+(E614*D614+F614)*VLOOKUP(C614,Settings!$A$2:$F$5,3,FALSE)/100+(E614*D614+F614)*VLOOKUP(C614,Settings!$A$2:$F$5,4,FALSE)/100+VLOOKUP(C614,Settings!$A$2:$F$5,5,FALSE)+VLOOKUP(C614,Settings!$A$2:$F$5,6,FALSE),0))</f>
        <v/>
      </c>
      <c r="J614" s="3">
        <f>IF(B614="","",IF(ISNA(MATCH(B614,Inventory!$A$2:$A$201,0)),"Check product",E614*D614+F614-I614-G614-H614))</f>
        <v/>
      </c>
      <c r="K614" s="4">
        <f>IF(OR(B614="",NOT(ISNUMBER(J614)),E614*D614+F614=0),"",J614/(E614*D614+F614))</f>
        <v/>
      </c>
    </row>
    <row r="615">
      <c r="A615" s="8" t="n"/>
      <c r="B615" s="6" t="n"/>
      <c r="C615" s="6" t="n"/>
      <c r="D615" s="6" t="n"/>
      <c r="E615" s="7" t="n"/>
      <c r="F615" s="7" t="n"/>
      <c r="G615" s="7" t="n"/>
      <c r="H615" s="3">
        <f>IFERROR(VLOOKUP(B615,Inventory!$A:$B,2,FALSE)*D615,0)</f>
        <v/>
      </c>
      <c r="I615" s="3">
        <f>IF(C615="",0,IFERROR(VLOOKUP(C615,Settings!$A$2:$F$5,2,FALSE)+(E615*D615+F615)*VLOOKUP(C615,Settings!$A$2:$F$5,3,FALSE)/100+(E615*D615+F615)*VLOOKUP(C615,Settings!$A$2:$F$5,4,FALSE)/100+VLOOKUP(C615,Settings!$A$2:$F$5,5,FALSE)+VLOOKUP(C615,Settings!$A$2:$F$5,6,FALSE),0))</f>
        <v/>
      </c>
      <c r="J615" s="3">
        <f>IF(B615="","",IF(ISNA(MATCH(B615,Inventory!$A$2:$A$201,0)),"Check product",E615*D615+F615-I615-G615-H615))</f>
        <v/>
      </c>
      <c r="K615" s="4">
        <f>IF(OR(B615="",NOT(ISNUMBER(J615)),E615*D615+F615=0),"",J615/(E615*D615+F615))</f>
        <v/>
      </c>
    </row>
    <row r="616">
      <c r="A616" s="8" t="n"/>
      <c r="B616" s="6" t="n"/>
      <c r="C616" s="6" t="n"/>
      <c r="D616" s="6" t="n"/>
      <c r="E616" s="7" t="n"/>
      <c r="F616" s="7" t="n"/>
      <c r="G616" s="7" t="n"/>
      <c r="H616" s="3">
        <f>IFERROR(VLOOKUP(B616,Inventory!$A:$B,2,FALSE)*D616,0)</f>
        <v/>
      </c>
      <c r="I616" s="3">
        <f>IF(C616="",0,IFERROR(VLOOKUP(C616,Settings!$A$2:$F$5,2,FALSE)+(E616*D616+F616)*VLOOKUP(C616,Settings!$A$2:$F$5,3,FALSE)/100+(E616*D616+F616)*VLOOKUP(C616,Settings!$A$2:$F$5,4,FALSE)/100+VLOOKUP(C616,Settings!$A$2:$F$5,5,FALSE)+VLOOKUP(C616,Settings!$A$2:$F$5,6,FALSE),0))</f>
        <v/>
      </c>
      <c r="J616" s="3">
        <f>IF(B616="","",IF(ISNA(MATCH(B616,Inventory!$A$2:$A$201,0)),"Check product",E616*D616+F616-I616-G616-H616))</f>
        <v/>
      </c>
      <c r="K616" s="4">
        <f>IF(OR(B616="",NOT(ISNUMBER(J616)),E616*D616+F616=0),"",J616/(E616*D616+F616))</f>
        <v/>
      </c>
    </row>
    <row r="617">
      <c r="A617" s="8" t="n"/>
      <c r="B617" s="6" t="n"/>
      <c r="C617" s="6" t="n"/>
      <c r="D617" s="6" t="n"/>
      <c r="E617" s="7" t="n"/>
      <c r="F617" s="7" t="n"/>
      <c r="G617" s="7" t="n"/>
      <c r="H617" s="3">
        <f>IFERROR(VLOOKUP(B617,Inventory!$A:$B,2,FALSE)*D617,0)</f>
        <v/>
      </c>
      <c r="I617" s="3">
        <f>IF(C617="",0,IFERROR(VLOOKUP(C617,Settings!$A$2:$F$5,2,FALSE)+(E617*D617+F617)*VLOOKUP(C617,Settings!$A$2:$F$5,3,FALSE)/100+(E617*D617+F617)*VLOOKUP(C617,Settings!$A$2:$F$5,4,FALSE)/100+VLOOKUP(C617,Settings!$A$2:$F$5,5,FALSE)+VLOOKUP(C617,Settings!$A$2:$F$5,6,FALSE),0))</f>
        <v/>
      </c>
      <c r="J617" s="3">
        <f>IF(B617="","",IF(ISNA(MATCH(B617,Inventory!$A$2:$A$201,0)),"Check product",E617*D617+F617-I617-G617-H617))</f>
        <v/>
      </c>
      <c r="K617" s="4">
        <f>IF(OR(B617="",NOT(ISNUMBER(J617)),E617*D617+F617=0),"",J617/(E617*D617+F617))</f>
        <v/>
      </c>
    </row>
    <row r="618">
      <c r="A618" s="8" t="n"/>
      <c r="B618" s="6" t="n"/>
      <c r="C618" s="6" t="n"/>
      <c r="D618" s="6" t="n"/>
      <c r="E618" s="7" t="n"/>
      <c r="F618" s="7" t="n"/>
      <c r="G618" s="7" t="n"/>
      <c r="H618" s="3">
        <f>IFERROR(VLOOKUP(B618,Inventory!$A:$B,2,FALSE)*D618,0)</f>
        <v/>
      </c>
      <c r="I618" s="3">
        <f>IF(C618="",0,IFERROR(VLOOKUP(C618,Settings!$A$2:$F$5,2,FALSE)+(E618*D618+F618)*VLOOKUP(C618,Settings!$A$2:$F$5,3,FALSE)/100+(E618*D618+F618)*VLOOKUP(C618,Settings!$A$2:$F$5,4,FALSE)/100+VLOOKUP(C618,Settings!$A$2:$F$5,5,FALSE)+VLOOKUP(C618,Settings!$A$2:$F$5,6,FALSE),0))</f>
        <v/>
      </c>
      <c r="J618" s="3">
        <f>IF(B618="","",IF(ISNA(MATCH(B618,Inventory!$A$2:$A$201,0)),"Check product",E618*D618+F618-I618-G618-H618))</f>
        <v/>
      </c>
      <c r="K618" s="4">
        <f>IF(OR(B618="",NOT(ISNUMBER(J618)),E618*D618+F618=0),"",J618/(E618*D618+F618))</f>
        <v/>
      </c>
    </row>
    <row r="619">
      <c r="A619" s="8" t="n"/>
      <c r="B619" s="6" t="n"/>
      <c r="C619" s="6" t="n"/>
      <c r="D619" s="6" t="n"/>
      <c r="E619" s="7" t="n"/>
      <c r="F619" s="7" t="n"/>
      <c r="G619" s="7" t="n"/>
      <c r="H619" s="3">
        <f>IFERROR(VLOOKUP(B619,Inventory!$A:$B,2,FALSE)*D619,0)</f>
        <v/>
      </c>
      <c r="I619" s="3">
        <f>IF(C619="",0,IFERROR(VLOOKUP(C619,Settings!$A$2:$F$5,2,FALSE)+(E619*D619+F619)*VLOOKUP(C619,Settings!$A$2:$F$5,3,FALSE)/100+(E619*D619+F619)*VLOOKUP(C619,Settings!$A$2:$F$5,4,FALSE)/100+VLOOKUP(C619,Settings!$A$2:$F$5,5,FALSE)+VLOOKUP(C619,Settings!$A$2:$F$5,6,FALSE),0))</f>
        <v/>
      </c>
      <c r="J619" s="3">
        <f>IF(B619="","",IF(ISNA(MATCH(B619,Inventory!$A$2:$A$201,0)),"Check product",E619*D619+F619-I619-G619-H619))</f>
        <v/>
      </c>
      <c r="K619" s="4">
        <f>IF(OR(B619="",NOT(ISNUMBER(J619)),E619*D619+F619=0),"",J619/(E619*D619+F619))</f>
        <v/>
      </c>
    </row>
    <row r="620">
      <c r="A620" s="8" t="n"/>
      <c r="B620" s="6" t="n"/>
      <c r="C620" s="6" t="n"/>
      <c r="D620" s="6" t="n"/>
      <c r="E620" s="7" t="n"/>
      <c r="F620" s="7" t="n"/>
      <c r="G620" s="7" t="n"/>
      <c r="H620" s="3">
        <f>IFERROR(VLOOKUP(B620,Inventory!$A:$B,2,FALSE)*D620,0)</f>
        <v/>
      </c>
      <c r="I620" s="3">
        <f>IF(C620="",0,IFERROR(VLOOKUP(C620,Settings!$A$2:$F$5,2,FALSE)+(E620*D620+F620)*VLOOKUP(C620,Settings!$A$2:$F$5,3,FALSE)/100+(E620*D620+F620)*VLOOKUP(C620,Settings!$A$2:$F$5,4,FALSE)/100+VLOOKUP(C620,Settings!$A$2:$F$5,5,FALSE)+VLOOKUP(C620,Settings!$A$2:$F$5,6,FALSE),0))</f>
        <v/>
      </c>
      <c r="J620" s="3">
        <f>IF(B620="","",IF(ISNA(MATCH(B620,Inventory!$A$2:$A$201,0)),"Check product",E620*D620+F620-I620-G620-H620))</f>
        <v/>
      </c>
      <c r="K620" s="4">
        <f>IF(OR(B620="",NOT(ISNUMBER(J620)),E620*D620+F620=0),"",J620/(E620*D620+F620))</f>
        <v/>
      </c>
    </row>
    <row r="621">
      <c r="A621" s="8" t="n"/>
      <c r="B621" s="6" t="n"/>
      <c r="C621" s="6" t="n"/>
      <c r="D621" s="6" t="n"/>
      <c r="E621" s="7" t="n"/>
      <c r="F621" s="7" t="n"/>
      <c r="G621" s="7" t="n"/>
      <c r="H621" s="3">
        <f>IFERROR(VLOOKUP(B621,Inventory!$A:$B,2,FALSE)*D621,0)</f>
        <v/>
      </c>
      <c r="I621" s="3">
        <f>IF(C621="",0,IFERROR(VLOOKUP(C621,Settings!$A$2:$F$5,2,FALSE)+(E621*D621+F621)*VLOOKUP(C621,Settings!$A$2:$F$5,3,FALSE)/100+(E621*D621+F621)*VLOOKUP(C621,Settings!$A$2:$F$5,4,FALSE)/100+VLOOKUP(C621,Settings!$A$2:$F$5,5,FALSE)+VLOOKUP(C621,Settings!$A$2:$F$5,6,FALSE),0))</f>
        <v/>
      </c>
      <c r="J621" s="3">
        <f>IF(B621="","",IF(ISNA(MATCH(B621,Inventory!$A$2:$A$201,0)),"Check product",E621*D621+F621-I621-G621-H621))</f>
        <v/>
      </c>
      <c r="K621" s="4">
        <f>IF(OR(B621="",NOT(ISNUMBER(J621)),E621*D621+F621=0),"",J621/(E621*D621+F621))</f>
        <v/>
      </c>
    </row>
    <row r="622">
      <c r="A622" s="8" t="n"/>
      <c r="B622" s="6" t="n"/>
      <c r="C622" s="6" t="n"/>
      <c r="D622" s="6" t="n"/>
      <c r="E622" s="7" t="n"/>
      <c r="F622" s="7" t="n"/>
      <c r="G622" s="7" t="n"/>
      <c r="H622" s="3">
        <f>IFERROR(VLOOKUP(B622,Inventory!$A:$B,2,FALSE)*D622,0)</f>
        <v/>
      </c>
      <c r="I622" s="3">
        <f>IF(C622="",0,IFERROR(VLOOKUP(C622,Settings!$A$2:$F$5,2,FALSE)+(E622*D622+F622)*VLOOKUP(C622,Settings!$A$2:$F$5,3,FALSE)/100+(E622*D622+F622)*VLOOKUP(C622,Settings!$A$2:$F$5,4,FALSE)/100+VLOOKUP(C622,Settings!$A$2:$F$5,5,FALSE)+VLOOKUP(C622,Settings!$A$2:$F$5,6,FALSE),0))</f>
        <v/>
      </c>
      <c r="J622" s="3">
        <f>IF(B622="","",IF(ISNA(MATCH(B622,Inventory!$A$2:$A$201,0)),"Check product",E622*D622+F622-I622-G622-H622))</f>
        <v/>
      </c>
      <c r="K622" s="4">
        <f>IF(OR(B622="",NOT(ISNUMBER(J622)),E622*D622+F622=0),"",J622/(E622*D622+F622))</f>
        <v/>
      </c>
    </row>
    <row r="623">
      <c r="A623" s="8" t="n"/>
      <c r="B623" s="6" t="n"/>
      <c r="C623" s="6" t="n"/>
      <c r="D623" s="6" t="n"/>
      <c r="E623" s="7" t="n"/>
      <c r="F623" s="7" t="n"/>
      <c r="G623" s="7" t="n"/>
      <c r="H623" s="3">
        <f>IFERROR(VLOOKUP(B623,Inventory!$A:$B,2,FALSE)*D623,0)</f>
        <v/>
      </c>
      <c r="I623" s="3">
        <f>IF(C623="",0,IFERROR(VLOOKUP(C623,Settings!$A$2:$F$5,2,FALSE)+(E623*D623+F623)*VLOOKUP(C623,Settings!$A$2:$F$5,3,FALSE)/100+(E623*D623+F623)*VLOOKUP(C623,Settings!$A$2:$F$5,4,FALSE)/100+VLOOKUP(C623,Settings!$A$2:$F$5,5,FALSE)+VLOOKUP(C623,Settings!$A$2:$F$5,6,FALSE),0))</f>
        <v/>
      </c>
      <c r="J623" s="3">
        <f>IF(B623="","",IF(ISNA(MATCH(B623,Inventory!$A$2:$A$201,0)),"Check product",E623*D623+F623-I623-G623-H623))</f>
        <v/>
      </c>
      <c r="K623" s="4">
        <f>IF(OR(B623="",NOT(ISNUMBER(J623)),E623*D623+F623=0),"",J623/(E623*D623+F623))</f>
        <v/>
      </c>
    </row>
    <row r="624">
      <c r="A624" s="8" t="n"/>
      <c r="B624" s="6" t="n"/>
      <c r="C624" s="6" t="n"/>
      <c r="D624" s="6" t="n"/>
      <c r="E624" s="7" t="n"/>
      <c r="F624" s="7" t="n"/>
      <c r="G624" s="7" t="n"/>
      <c r="H624" s="3">
        <f>IFERROR(VLOOKUP(B624,Inventory!$A:$B,2,FALSE)*D624,0)</f>
        <v/>
      </c>
      <c r="I624" s="3">
        <f>IF(C624="",0,IFERROR(VLOOKUP(C624,Settings!$A$2:$F$5,2,FALSE)+(E624*D624+F624)*VLOOKUP(C624,Settings!$A$2:$F$5,3,FALSE)/100+(E624*D624+F624)*VLOOKUP(C624,Settings!$A$2:$F$5,4,FALSE)/100+VLOOKUP(C624,Settings!$A$2:$F$5,5,FALSE)+VLOOKUP(C624,Settings!$A$2:$F$5,6,FALSE),0))</f>
        <v/>
      </c>
      <c r="J624" s="3">
        <f>IF(B624="","",IF(ISNA(MATCH(B624,Inventory!$A$2:$A$201,0)),"Check product",E624*D624+F624-I624-G624-H624))</f>
        <v/>
      </c>
      <c r="K624" s="4">
        <f>IF(OR(B624="",NOT(ISNUMBER(J624)),E624*D624+F624=0),"",J624/(E624*D624+F624))</f>
        <v/>
      </c>
    </row>
    <row r="625">
      <c r="A625" s="8" t="n"/>
      <c r="B625" s="6" t="n"/>
      <c r="C625" s="6" t="n"/>
      <c r="D625" s="6" t="n"/>
      <c r="E625" s="7" t="n"/>
      <c r="F625" s="7" t="n"/>
      <c r="G625" s="7" t="n"/>
      <c r="H625" s="3">
        <f>IFERROR(VLOOKUP(B625,Inventory!$A:$B,2,FALSE)*D625,0)</f>
        <v/>
      </c>
      <c r="I625" s="3">
        <f>IF(C625="",0,IFERROR(VLOOKUP(C625,Settings!$A$2:$F$5,2,FALSE)+(E625*D625+F625)*VLOOKUP(C625,Settings!$A$2:$F$5,3,FALSE)/100+(E625*D625+F625)*VLOOKUP(C625,Settings!$A$2:$F$5,4,FALSE)/100+VLOOKUP(C625,Settings!$A$2:$F$5,5,FALSE)+VLOOKUP(C625,Settings!$A$2:$F$5,6,FALSE),0))</f>
        <v/>
      </c>
      <c r="J625" s="3">
        <f>IF(B625="","",IF(ISNA(MATCH(B625,Inventory!$A$2:$A$201,0)),"Check product",E625*D625+F625-I625-G625-H625))</f>
        <v/>
      </c>
      <c r="K625" s="4">
        <f>IF(OR(B625="",NOT(ISNUMBER(J625)),E625*D625+F625=0),"",J625/(E625*D625+F625))</f>
        <v/>
      </c>
    </row>
    <row r="626">
      <c r="A626" s="8" t="n"/>
      <c r="B626" s="6" t="n"/>
      <c r="C626" s="6" t="n"/>
      <c r="D626" s="6" t="n"/>
      <c r="E626" s="7" t="n"/>
      <c r="F626" s="7" t="n"/>
      <c r="G626" s="7" t="n"/>
      <c r="H626" s="3">
        <f>IFERROR(VLOOKUP(B626,Inventory!$A:$B,2,FALSE)*D626,0)</f>
        <v/>
      </c>
      <c r="I626" s="3">
        <f>IF(C626="",0,IFERROR(VLOOKUP(C626,Settings!$A$2:$F$5,2,FALSE)+(E626*D626+F626)*VLOOKUP(C626,Settings!$A$2:$F$5,3,FALSE)/100+(E626*D626+F626)*VLOOKUP(C626,Settings!$A$2:$F$5,4,FALSE)/100+VLOOKUP(C626,Settings!$A$2:$F$5,5,FALSE)+VLOOKUP(C626,Settings!$A$2:$F$5,6,FALSE),0))</f>
        <v/>
      </c>
      <c r="J626" s="3">
        <f>IF(B626="","",IF(ISNA(MATCH(B626,Inventory!$A$2:$A$201,0)),"Check product",E626*D626+F626-I626-G626-H626))</f>
        <v/>
      </c>
      <c r="K626" s="4">
        <f>IF(OR(B626="",NOT(ISNUMBER(J626)),E626*D626+F626=0),"",J626/(E626*D626+F626))</f>
        <v/>
      </c>
    </row>
    <row r="627">
      <c r="A627" s="8" t="n"/>
      <c r="B627" s="6" t="n"/>
      <c r="C627" s="6" t="n"/>
      <c r="D627" s="6" t="n"/>
      <c r="E627" s="7" t="n"/>
      <c r="F627" s="7" t="n"/>
      <c r="G627" s="7" t="n"/>
      <c r="H627" s="3">
        <f>IFERROR(VLOOKUP(B627,Inventory!$A:$B,2,FALSE)*D627,0)</f>
        <v/>
      </c>
      <c r="I627" s="3">
        <f>IF(C627="",0,IFERROR(VLOOKUP(C627,Settings!$A$2:$F$5,2,FALSE)+(E627*D627+F627)*VLOOKUP(C627,Settings!$A$2:$F$5,3,FALSE)/100+(E627*D627+F627)*VLOOKUP(C627,Settings!$A$2:$F$5,4,FALSE)/100+VLOOKUP(C627,Settings!$A$2:$F$5,5,FALSE)+VLOOKUP(C627,Settings!$A$2:$F$5,6,FALSE),0))</f>
        <v/>
      </c>
      <c r="J627" s="3">
        <f>IF(B627="","",IF(ISNA(MATCH(B627,Inventory!$A$2:$A$201,0)),"Check product",E627*D627+F627-I627-G627-H627))</f>
        <v/>
      </c>
      <c r="K627" s="4">
        <f>IF(OR(B627="",NOT(ISNUMBER(J627)),E627*D627+F627=0),"",J627/(E627*D627+F627))</f>
        <v/>
      </c>
    </row>
    <row r="628">
      <c r="A628" s="8" t="n"/>
      <c r="B628" s="6" t="n"/>
      <c r="C628" s="6" t="n"/>
      <c r="D628" s="6" t="n"/>
      <c r="E628" s="7" t="n"/>
      <c r="F628" s="7" t="n"/>
      <c r="G628" s="7" t="n"/>
      <c r="H628" s="3">
        <f>IFERROR(VLOOKUP(B628,Inventory!$A:$B,2,FALSE)*D628,0)</f>
        <v/>
      </c>
      <c r="I628" s="3">
        <f>IF(C628="",0,IFERROR(VLOOKUP(C628,Settings!$A$2:$F$5,2,FALSE)+(E628*D628+F628)*VLOOKUP(C628,Settings!$A$2:$F$5,3,FALSE)/100+(E628*D628+F628)*VLOOKUP(C628,Settings!$A$2:$F$5,4,FALSE)/100+VLOOKUP(C628,Settings!$A$2:$F$5,5,FALSE)+VLOOKUP(C628,Settings!$A$2:$F$5,6,FALSE),0))</f>
        <v/>
      </c>
      <c r="J628" s="3">
        <f>IF(B628="","",IF(ISNA(MATCH(B628,Inventory!$A$2:$A$201,0)),"Check product",E628*D628+F628-I628-G628-H628))</f>
        <v/>
      </c>
      <c r="K628" s="4">
        <f>IF(OR(B628="",NOT(ISNUMBER(J628)),E628*D628+F628=0),"",J628/(E628*D628+F628))</f>
        <v/>
      </c>
    </row>
    <row r="629">
      <c r="A629" s="8" t="n"/>
      <c r="B629" s="6" t="n"/>
      <c r="C629" s="6" t="n"/>
      <c r="D629" s="6" t="n"/>
      <c r="E629" s="7" t="n"/>
      <c r="F629" s="7" t="n"/>
      <c r="G629" s="7" t="n"/>
      <c r="H629" s="3">
        <f>IFERROR(VLOOKUP(B629,Inventory!$A:$B,2,FALSE)*D629,0)</f>
        <v/>
      </c>
      <c r="I629" s="3">
        <f>IF(C629="",0,IFERROR(VLOOKUP(C629,Settings!$A$2:$F$5,2,FALSE)+(E629*D629+F629)*VLOOKUP(C629,Settings!$A$2:$F$5,3,FALSE)/100+(E629*D629+F629)*VLOOKUP(C629,Settings!$A$2:$F$5,4,FALSE)/100+VLOOKUP(C629,Settings!$A$2:$F$5,5,FALSE)+VLOOKUP(C629,Settings!$A$2:$F$5,6,FALSE),0))</f>
        <v/>
      </c>
      <c r="J629" s="3">
        <f>IF(B629="","",IF(ISNA(MATCH(B629,Inventory!$A$2:$A$201,0)),"Check product",E629*D629+F629-I629-G629-H629))</f>
        <v/>
      </c>
      <c r="K629" s="4">
        <f>IF(OR(B629="",NOT(ISNUMBER(J629)),E629*D629+F629=0),"",J629/(E629*D629+F629))</f>
        <v/>
      </c>
    </row>
    <row r="630">
      <c r="A630" s="8" t="n"/>
      <c r="B630" s="6" t="n"/>
      <c r="C630" s="6" t="n"/>
      <c r="D630" s="6" t="n"/>
      <c r="E630" s="7" t="n"/>
      <c r="F630" s="7" t="n"/>
      <c r="G630" s="7" t="n"/>
      <c r="H630" s="3">
        <f>IFERROR(VLOOKUP(B630,Inventory!$A:$B,2,FALSE)*D630,0)</f>
        <v/>
      </c>
      <c r="I630" s="3">
        <f>IF(C630="",0,IFERROR(VLOOKUP(C630,Settings!$A$2:$F$5,2,FALSE)+(E630*D630+F630)*VLOOKUP(C630,Settings!$A$2:$F$5,3,FALSE)/100+(E630*D630+F630)*VLOOKUP(C630,Settings!$A$2:$F$5,4,FALSE)/100+VLOOKUP(C630,Settings!$A$2:$F$5,5,FALSE)+VLOOKUP(C630,Settings!$A$2:$F$5,6,FALSE),0))</f>
        <v/>
      </c>
      <c r="J630" s="3">
        <f>IF(B630="","",IF(ISNA(MATCH(B630,Inventory!$A$2:$A$201,0)),"Check product",E630*D630+F630-I630-G630-H630))</f>
        <v/>
      </c>
      <c r="K630" s="4">
        <f>IF(OR(B630="",NOT(ISNUMBER(J630)),E630*D630+F630=0),"",J630/(E630*D630+F630))</f>
        <v/>
      </c>
    </row>
    <row r="631">
      <c r="A631" s="8" t="n"/>
      <c r="B631" s="6" t="n"/>
      <c r="C631" s="6" t="n"/>
      <c r="D631" s="6" t="n"/>
      <c r="E631" s="7" t="n"/>
      <c r="F631" s="7" t="n"/>
      <c r="G631" s="7" t="n"/>
      <c r="H631" s="3">
        <f>IFERROR(VLOOKUP(B631,Inventory!$A:$B,2,FALSE)*D631,0)</f>
        <v/>
      </c>
      <c r="I631" s="3">
        <f>IF(C631="",0,IFERROR(VLOOKUP(C631,Settings!$A$2:$F$5,2,FALSE)+(E631*D631+F631)*VLOOKUP(C631,Settings!$A$2:$F$5,3,FALSE)/100+(E631*D631+F631)*VLOOKUP(C631,Settings!$A$2:$F$5,4,FALSE)/100+VLOOKUP(C631,Settings!$A$2:$F$5,5,FALSE)+VLOOKUP(C631,Settings!$A$2:$F$5,6,FALSE),0))</f>
        <v/>
      </c>
      <c r="J631" s="3">
        <f>IF(B631="","",IF(ISNA(MATCH(B631,Inventory!$A$2:$A$201,0)),"Check product",E631*D631+F631-I631-G631-H631))</f>
        <v/>
      </c>
      <c r="K631" s="4">
        <f>IF(OR(B631="",NOT(ISNUMBER(J631)),E631*D631+F631=0),"",J631/(E631*D631+F631))</f>
        <v/>
      </c>
    </row>
    <row r="632">
      <c r="A632" s="8" t="n"/>
      <c r="B632" s="6" t="n"/>
      <c r="C632" s="6" t="n"/>
      <c r="D632" s="6" t="n"/>
      <c r="E632" s="7" t="n"/>
      <c r="F632" s="7" t="n"/>
      <c r="G632" s="7" t="n"/>
      <c r="H632" s="3">
        <f>IFERROR(VLOOKUP(B632,Inventory!$A:$B,2,FALSE)*D632,0)</f>
        <v/>
      </c>
      <c r="I632" s="3">
        <f>IF(C632="",0,IFERROR(VLOOKUP(C632,Settings!$A$2:$F$5,2,FALSE)+(E632*D632+F632)*VLOOKUP(C632,Settings!$A$2:$F$5,3,FALSE)/100+(E632*D632+F632)*VLOOKUP(C632,Settings!$A$2:$F$5,4,FALSE)/100+VLOOKUP(C632,Settings!$A$2:$F$5,5,FALSE)+VLOOKUP(C632,Settings!$A$2:$F$5,6,FALSE),0))</f>
        <v/>
      </c>
      <c r="J632" s="3">
        <f>IF(B632="","",IF(ISNA(MATCH(B632,Inventory!$A$2:$A$201,0)),"Check product",E632*D632+F632-I632-G632-H632))</f>
        <v/>
      </c>
      <c r="K632" s="4">
        <f>IF(OR(B632="",NOT(ISNUMBER(J632)),E632*D632+F632=0),"",J632/(E632*D632+F632))</f>
        <v/>
      </c>
    </row>
    <row r="633">
      <c r="A633" s="8" t="n"/>
      <c r="B633" s="6" t="n"/>
      <c r="C633" s="6" t="n"/>
      <c r="D633" s="6" t="n"/>
      <c r="E633" s="7" t="n"/>
      <c r="F633" s="7" t="n"/>
      <c r="G633" s="7" t="n"/>
      <c r="H633" s="3">
        <f>IFERROR(VLOOKUP(B633,Inventory!$A:$B,2,FALSE)*D633,0)</f>
        <v/>
      </c>
      <c r="I633" s="3">
        <f>IF(C633="",0,IFERROR(VLOOKUP(C633,Settings!$A$2:$F$5,2,FALSE)+(E633*D633+F633)*VLOOKUP(C633,Settings!$A$2:$F$5,3,FALSE)/100+(E633*D633+F633)*VLOOKUP(C633,Settings!$A$2:$F$5,4,FALSE)/100+VLOOKUP(C633,Settings!$A$2:$F$5,5,FALSE)+VLOOKUP(C633,Settings!$A$2:$F$5,6,FALSE),0))</f>
        <v/>
      </c>
      <c r="J633" s="3">
        <f>IF(B633="","",IF(ISNA(MATCH(B633,Inventory!$A$2:$A$201,0)),"Check product",E633*D633+F633-I633-G633-H633))</f>
        <v/>
      </c>
      <c r="K633" s="4">
        <f>IF(OR(B633="",NOT(ISNUMBER(J633)),E633*D633+F633=0),"",J633/(E633*D633+F633))</f>
        <v/>
      </c>
    </row>
    <row r="634">
      <c r="A634" s="8" t="n"/>
      <c r="B634" s="6" t="n"/>
      <c r="C634" s="6" t="n"/>
      <c r="D634" s="6" t="n"/>
      <c r="E634" s="7" t="n"/>
      <c r="F634" s="7" t="n"/>
      <c r="G634" s="7" t="n"/>
      <c r="H634" s="3">
        <f>IFERROR(VLOOKUP(B634,Inventory!$A:$B,2,FALSE)*D634,0)</f>
        <v/>
      </c>
      <c r="I634" s="3">
        <f>IF(C634="",0,IFERROR(VLOOKUP(C634,Settings!$A$2:$F$5,2,FALSE)+(E634*D634+F634)*VLOOKUP(C634,Settings!$A$2:$F$5,3,FALSE)/100+(E634*D634+F634)*VLOOKUP(C634,Settings!$A$2:$F$5,4,FALSE)/100+VLOOKUP(C634,Settings!$A$2:$F$5,5,FALSE)+VLOOKUP(C634,Settings!$A$2:$F$5,6,FALSE),0))</f>
        <v/>
      </c>
      <c r="J634" s="3">
        <f>IF(B634="","",IF(ISNA(MATCH(B634,Inventory!$A$2:$A$201,0)),"Check product",E634*D634+F634-I634-G634-H634))</f>
        <v/>
      </c>
      <c r="K634" s="4">
        <f>IF(OR(B634="",NOT(ISNUMBER(J634)),E634*D634+F634=0),"",J634/(E634*D634+F634))</f>
        <v/>
      </c>
    </row>
    <row r="635">
      <c r="A635" s="8" t="n"/>
      <c r="B635" s="6" t="n"/>
      <c r="C635" s="6" t="n"/>
      <c r="D635" s="6" t="n"/>
      <c r="E635" s="7" t="n"/>
      <c r="F635" s="7" t="n"/>
      <c r="G635" s="7" t="n"/>
      <c r="H635" s="3">
        <f>IFERROR(VLOOKUP(B635,Inventory!$A:$B,2,FALSE)*D635,0)</f>
        <v/>
      </c>
      <c r="I635" s="3">
        <f>IF(C635="",0,IFERROR(VLOOKUP(C635,Settings!$A$2:$F$5,2,FALSE)+(E635*D635+F635)*VLOOKUP(C635,Settings!$A$2:$F$5,3,FALSE)/100+(E635*D635+F635)*VLOOKUP(C635,Settings!$A$2:$F$5,4,FALSE)/100+VLOOKUP(C635,Settings!$A$2:$F$5,5,FALSE)+VLOOKUP(C635,Settings!$A$2:$F$5,6,FALSE),0))</f>
        <v/>
      </c>
      <c r="J635" s="3">
        <f>IF(B635="","",IF(ISNA(MATCH(B635,Inventory!$A$2:$A$201,0)),"Check product",E635*D635+F635-I635-G635-H635))</f>
        <v/>
      </c>
      <c r="K635" s="4">
        <f>IF(OR(B635="",NOT(ISNUMBER(J635)),E635*D635+F635=0),"",J635/(E635*D635+F635))</f>
        <v/>
      </c>
    </row>
    <row r="636">
      <c r="A636" s="8" t="n"/>
      <c r="B636" s="6" t="n"/>
      <c r="C636" s="6" t="n"/>
      <c r="D636" s="6" t="n"/>
      <c r="E636" s="7" t="n"/>
      <c r="F636" s="7" t="n"/>
      <c r="G636" s="7" t="n"/>
      <c r="H636" s="3">
        <f>IFERROR(VLOOKUP(B636,Inventory!$A:$B,2,FALSE)*D636,0)</f>
        <v/>
      </c>
      <c r="I636" s="3">
        <f>IF(C636="",0,IFERROR(VLOOKUP(C636,Settings!$A$2:$F$5,2,FALSE)+(E636*D636+F636)*VLOOKUP(C636,Settings!$A$2:$F$5,3,FALSE)/100+(E636*D636+F636)*VLOOKUP(C636,Settings!$A$2:$F$5,4,FALSE)/100+VLOOKUP(C636,Settings!$A$2:$F$5,5,FALSE)+VLOOKUP(C636,Settings!$A$2:$F$5,6,FALSE),0))</f>
        <v/>
      </c>
      <c r="J636" s="3">
        <f>IF(B636="","",IF(ISNA(MATCH(B636,Inventory!$A$2:$A$201,0)),"Check product",E636*D636+F636-I636-G636-H636))</f>
        <v/>
      </c>
      <c r="K636" s="4">
        <f>IF(OR(B636="",NOT(ISNUMBER(J636)),E636*D636+F636=0),"",J636/(E636*D636+F636))</f>
        <v/>
      </c>
    </row>
    <row r="637">
      <c r="A637" s="8" t="n"/>
      <c r="B637" s="6" t="n"/>
      <c r="C637" s="6" t="n"/>
      <c r="D637" s="6" t="n"/>
      <c r="E637" s="7" t="n"/>
      <c r="F637" s="7" t="n"/>
      <c r="G637" s="7" t="n"/>
      <c r="H637" s="3">
        <f>IFERROR(VLOOKUP(B637,Inventory!$A:$B,2,FALSE)*D637,0)</f>
        <v/>
      </c>
      <c r="I637" s="3">
        <f>IF(C637="",0,IFERROR(VLOOKUP(C637,Settings!$A$2:$F$5,2,FALSE)+(E637*D637+F637)*VLOOKUP(C637,Settings!$A$2:$F$5,3,FALSE)/100+(E637*D637+F637)*VLOOKUP(C637,Settings!$A$2:$F$5,4,FALSE)/100+VLOOKUP(C637,Settings!$A$2:$F$5,5,FALSE)+VLOOKUP(C637,Settings!$A$2:$F$5,6,FALSE),0))</f>
        <v/>
      </c>
      <c r="J637" s="3">
        <f>IF(B637="","",IF(ISNA(MATCH(B637,Inventory!$A$2:$A$201,0)),"Check product",E637*D637+F637-I637-G637-H637))</f>
        <v/>
      </c>
      <c r="K637" s="4">
        <f>IF(OR(B637="",NOT(ISNUMBER(J637)),E637*D637+F637=0),"",J637/(E637*D637+F637))</f>
        <v/>
      </c>
    </row>
    <row r="638">
      <c r="A638" s="8" t="n"/>
      <c r="B638" s="6" t="n"/>
      <c r="C638" s="6" t="n"/>
      <c r="D638" s="6" t="n"/>
      <c r="E638" s="7" t="n"/>
      <c r="F638" s="7" t="n"/>
      <c r="G638" s="7" t="n"/>
      <c r="H638" s="3">
        <f>IFERROR(VLOOKUP(B638,Inventory!$A:$B,2,FALSE)*D638,0)</f>
        <v/>
      </c>
      <c r="I638" s="3">
        <f>IF(C638="",0,IFERROR(VLOOKUP(C638,Settings!$A$2:$F$5,2,FALSE)+(E638*D638+F638)*VLOOKUP(C638,Settings!$A$2:$F$5,3,FALSE)/100+(E638*D638+F638)*VLOOKUP(C638,Settings!$A$2:$F$5,4,FALSE)/100+VLOOKUP(C638,Settings!$A$2:$F$5,5,FALSE)+VLOOKUP(C638,Settings!$A$2:$F$5,6,FALSE),0))</f>
        <v/>
      </c>
      <c r="J638" s="3">
        <f>IF(B638="","",IF(ISNA(MATCH(B638,Inventory!$A$2:$A$201,0)),"Check product",E638*D638+F638-I638-G638-H638))</f>
        <v/>
      </c>
      <c r="K638" s="4">
        <f>IF(OR(B638="",NOT(ISNUMBER(J638)),E638*D638+F638=0),"",J638/(E638*D638+F638))</f>
        <v/>
      </c>
    </row>
    <row r="639">
      <c r="A639" s="8" t="n"/>
      <c r="B639" s="6" t="n"/>
      <c r="C639" s="6" t="n"/>
      <c r="D639" s="6" t="n"/>
      <c r="E639" s="7" t="n"/>
      <c r="F639" s="7" t="n"/>
      <c r="G639" s="7" t="n"/>
      <c r="H639" s="3">
        <f>IFERROR(VLOOKUP(B639,Inventory!$A:$B,2,FALSE)*D639,0)</f>
        <v/>
      </c>
      <c r="I639" s="3">
        <f>IF(C639="",0,IFERROR(VLOOKUP(C639,Settings!$A$2:$F$5,2,FALSE)+(E639*D639+F639)*VLOOKUP(C639,Settings!$A$2:$F$5,3,FALSE)/100+(E639*D639+F639)*VLOOKUP(C639,Settings!$A$2:$F$5,4,FALSE)/100+VLOOKUP(C639,Settings!$A$2:$F$5,5,FALSE)+VLOOKUP(C639,Settings!$A$2:$F$5,6,FALSE),0))</f>
        <v/>
      </c>
      <c r="J639" s="3">
        <f>IF(B639="","",IF(ISNA(MATCH(B639,Inventory!$A$2:$A$201,0)),"Check product",E639*D639+F639-I639-G639-H639))</f>
        <v/>
      </c>
      <c r="K639" s="4">
        <f>IF(OR(B639="",NOT(ISNUMBER(J639)),E639*D639+F639=0),"",J639/(E639*D639+F639))</f>
        <v/>
      </c>
    </row>
    <row r="640">
      <c r="A640" s="8" t="n"/>
      <c r="B640" s="6" t="n"/>
      <c r="C640" s="6" t="n"/>
      <c r="D640" s="6" t="n"/>
      <c r="E640" s="7" t="n"/>
      <c r="F640" s="7" t="n"/>
      <c r="G640" s="7" t="n"/>
      <c r="H640" s="3">
        <f>IFERROR(VLOOKUP(B640,Inventory!$A:$B,2,FALSE)*D640,0)</f>
        <v/>
      </c>
      <c r="I640" s="3">
        <f>IF(C640="",0,IFERROR(VLOOKUP(C640,Settings!$A$2:$F$5,2,FALSE)+(E640*D640+F640)*VLOOKUP(C640,Settings!$A$2:$F$5,3,FALSE)/100+(E640*D640+F640)*VLOOKUP(C640,Settings!$A$2:$F$5,4,FALSE)/100+VLOOKUP(C640,Settings!$A$2:$F$5,5,FALSE)+VLOOKUP(C640,Settings!$A$2:$F$5,6,FALSE),0))</f>
        <v/>
      </c>
      <c r="J640" s="3">
        <f>IF(B640="","",IF(ISNA(MATCH(B640,Inventory!$A$2:$A$201,0)),"Check product",E640*D640+F640-I640-G640-H640))</f>
        <v/>
      </c>
      <c r="K640" s="4">
        <f>IF(OR(B640="",NOT(ISNUMBER(J640)),E640*D640+F640=0),"",J640/(E640*D640+F640))</f>
        <v/>
      </c>
    </row>
    <row r="641">
      <c r="A641" s="8" t="n"/>
      <c r="B641" s="6" t="n"/>
      <c r="C641" s="6" t="n"/>
      <c r="D641" s="6" t="n"/>
      <c r="E641" s="7" t="n"/>
      <c r="F641" s="7" t="n"/>
      <c r="G641" s="7" t="n"/>
      <c r="H641" s="3">
        <f>IFERROR(VLOOKUP(B641,Inventory!$A:$B,2,FALSE)*D641,0)</f>
        <v/>
      </c>
      <c r="I641" s="3">
        <f>IF(C641="",0,IFERROR(VLOOKUP(C641,Settings!$A$2:$F$5,2,FALSE)+(E641*D641+F641)*VLOOKUP(C641,Settings!$A$2:$F$5,3,FALSE)/100+(E641*D641+F641)*VLOOKUP(C641,Settings!$A$2:$F$5,4,FALSE)/100+VLOOKUP(C641,Settings!$A$2:$F$5,5,FALSE)+VLOOKUP(C641,Settings!$A$2:$F$5,6,FALSE),0))</f>
        <v/>
      </c>
      <c r="J641" s="3">
        <f>IF(B641="","",IF(ISNA(MATCH(B641,Inventory!$A$2:$A$201,0)),"Check product",E641*D641+F641-I641-G641-H641))</f>
        <v/>
      </c>
      <c r="K641" s="4">
        <f>IF(OR(B641="",NOT(ISNUMBER(J641)),E641*D641+F641=0),"",J641/(E641*D641+F641))</f>
        <v/>
      </c>
    </row>
    <row r="642">
      <c r="A642" s="8" t="n"/>
      <c r="B642" s="6" t="n"/>
      <c r="C642" s="6" t="n"/>
      <c r="D642" s="6" t="n"/>
      <c r="E642" s="7" t="n"/>
      <c r="F642" s="7" t="n"/>
      <c r="G642" s="7" t="n"/>
      <c r="H642" s="3">
        <f>IFERROR(VLOOKUP(B642,Inventory!$A:$B,2,FALSE)*D642,0)</f>
        <v/>
      </c>
      <c r="I642" s="3">
        <f>IF(C642="",0,IFERROR(VLOOKUP(C642,Settings!$A$2:$F$5,2,FALSE)+(E642*D642+F642)*VLOOKUP(C642,Settings!$A$2:$F$5,3,FALSE)/100+(E642*D642+F642)*VLOOKUP(C642,Settings!$A$2:$F$5,4,FALSE)/100+VLOOKUP(C642,Settings!$A$2:$F$5,5,FALSE)+VLOOKUP(C642,Settings!$A$2:$F$5,6,FALSE),0))</f>
        <v/>
      </c>
      <c r="J642" s="3">
        <f>IF(B642="","",IF(ISNA(MATCH(B642,Inventory!$A$2:$A$201,0)),"Check product",E642*D642+F642-I642-G642-H642))</f>
        <v/>
      </c>
      <c r="K642" s="4">
        <f>IF(OR(B642="",NOT(ISNUMBER(J642)),E642*D642+F642=0),"",J642/(E642*D642+F642))</f>
        <v/>
      </c>
    </row>
    <row r="643">
      <c r="A643" s="8" t="n"/>
      <c r="B643" s="6" t="n"/>
      <c r="C643" s="6" t="n"/>
      <c r="D643" s="6" t="n"/>
      <c r="E643" s="7" t="n"/>
      <c r="F643" s="7" t="n"/>
      <c r="G643" s="7" t="n"/>
      <c r="H643" s="3">
        <f>IFERROR(VLOOKUP(B643,Inventory!$A:$B,2,FALSE)*D643,0)</f>
        <v/>
      </c>
      <c r="I643" s="3">
        <f>IF(C643="",0,IFERROR(VLOOKUP(C643,Settings!$A$2:$F$5,2,FALSE)+(E643*D643+F643)*VLOOKUP(C643,Settings!$A$2:$F$5,3,FALSE)/100+(E643*D643+F643)*VLOOKUP(C643,Settings!$A$2:$F$5,4,FALSE)/100+VLOOKUP(C643,Settings!$A$2:$F$5,5,FALSE)+VLOOKUP(C643,Settings!$A$2:$F$5,6,FALSE),0))</f>
        <v/>
      </c>
      <c r="J643" s="3">
        <f>IF(B643="","",IF(ISNA(MATCH(B643,Inventory!$A$2:$A$201,0)),"Check product",E643*D643+F643-I643-G643-H643))</f>
        <v/>
      </c>
      <c r="K643" s="4">
        <f>IF(OR(B643="",NOT(ISNUMBER(J643)),E643*D643+F643=0),"",J643/(E643*D643+F643))</f>
        <v/>
      </c>
    </row>
    <row r="644">
      <c r="A644" s="8" t="n"/>
      <c r="B644" s="6" t="n"/>
      <c r="C644" s="6" t="n"/>
      <c r="D644" s="6" t="n"/>
      <c r="E644" s="7" t="n"/>
      <c r="F644" s="7" t="n"/>
      <c r="G644" s="7" t="n"/>
      <c r="H644" s="3">
        <f>IFERROR(VLOOKUP(B644,Inventory!$A:$B,2,FALSE)*D644,0)</f>
        <v/>
      </c>
      <c r="I644" s="3">
        <f>IF(C644="",0,IFERROR(VLOOKUP(C644,Settings!$A$2:$F$5,2,FALSE)+(E644*D644+F644)*VLOOKUP(C644,Settings!$A$2:$F$5,3,FALSE)/100+(E644*D644+F644)*VLOOKUP(C644,Settings!$A$2:$F$5,4,FALSE)/100+VLOOKUP(C644,Settings!$A$2:$F$5,5,FALSE)+VLOOKUP(C644,Settings!$A$2:$F$5,6,FALSE),0))</f>
        <v/>
      </c>
      <c r="J644" s="3">
        <f>IF(B644="","",IF(ISNA(MATCH(B644,Inventory!$A$2:$A$201,0)),"Check product",E644*D644+F644-I644-G644-H644))</f>
        <v/>
      </c>
      <c r="K644" s="4">
        <f>IF(OR(B644="",NOT(ISNUMBER(J644)),E644*D644+F644=0),"",J644/(E644*D644+F644))</f>
        <v/>
      </c>
    </row>
    <row r="645">
      <c r="A645" s="8" t="n"/>
      <c r="B645" s="6" t="n"/>
      <c r="C645" s="6" t="n"/>
      <c r="D645" s="6" t="n"/>
      <c r="E645" s="7" t="n"/>
      <c r="F645" s="7" t="n"/>
      <c r="G645" s="7" t="n"/>
      <c r="H645" s="3">
        <f>IFERROR(VLOOKUP(B645,Inventory!$A:$B,2,FALSE)*D645,0)</f>
        <v/>
      </c>
      <c r="I645" s="3">
        <f>IF(C645="",0,IFERROR(VLOOKUP(C645,Settings!$A$2:$F$5,2,FALSE)+(E645*D645+F645)*VLOOKUP(C645,Settings!$A$2:$F$5,3,FALSE)/100+(E645*D645+F645)*VLOOKUP(C645,Settings!$A$2:$F$5,4,FALSE)/100+VLOOKUP(C645,Settings!$A$2:$F$5,5,FALSE)+VLOOKUP(C645,Settings!$A$2:$F$5,6,FALSE),0))</f>
        <v/>
      </c>
      <c r="J645" s="3">
        <f>IF(B645="","",IF(ISNA(MATCH(B645,Inventory!$A$2:$A$201,0)),"Check product",E645*D645+F645-I645-G645-H645))</f>
        <v/>
      </c>
      <c r="K645" s="4">
        <f>IF(OR(B645="",NOT(ISNUMBER(J645)),E645*D645+F645=0),"",J645/(E645*D645+F645))</f>
        <v/>
      </c>
    </row>
    <row r="646">
      <c r="A646" s="8" t="n"/>
      <c r="B646" s="6" t="n"/>
      <c r="C646" s="6" t="n"/>
      <c r="D646" s="6" t="n"/>
      <c r="E646" s="7" t="n"/>
      <c r="F646" s="7" t="n"/>
      <c r="G646" s="7" t="n"/>
      <c r="H646" s="3">
        <f>IFERROR(VLOOKUP(B646,Inventory!$A:$B,2,FALSE)*D646,0)</f>
        <v/>
      </c>
      <c r="I646" s="3">
        <f>IF(C646="",0,IFERROR(VLOOKUP(C646,Settings!$A$2:$F$5,2,FALSE)+(E646*D646+F646)*VLOOKUP(C646,Settings!$A$2:$F$5,3,FALSE)/100+(E646*D646+F646)*VLOOKUP(C646,Settings!$A$2:$F$5,4,FALSE)/100+VLOOKUP(C646,Settings!$A$2:$F$5,5,FALSE)+VLOOKUP(C646,Settings!$A$2:$F$5,6,FALSE),0))</f>
        <v/>
      </c>
      <c r="J646" s="3">
        <f>IF(B646="","",IF(ISNA(MATCH(B646,Inventory!$A$2:$A$201,0)),"Check product",E646*D646+F646-I646-G646-H646))</f>
        <v/>
      </c>
      <c r="K646" s="4">
        <f>IF(OR(B646="",NOT(ISNUMBER(J646)),E646*D646+F646=0),"",J646/(E646*D646+F646))</f>
        <v/>
      </c>
    </row>
    <row r="647">
      <c r="A647" s="8" t="n"/>
      <c r="B647" s="6" t="n"/>
      <c r="C647" s="6" t="n"/>
      <c r="D647" s="6" t="n"/>
      <c r="E647" s="7" t="n"/>
      <c r="F647" s="7" t="n"/>
      <c r="G647" s="7" t="n"/>
      <c r="H647" s="3">
        <f>IFERROR(VLOOKUP(B647,Inventory!$A:$B,2,FALSE)*D647,0)</f>
        <v/>
      </c>
      <c r="I647" s="3">
        <f>IF(C647="",0,IFERROR(VLOOKUP(C647,Settings!$A$2:$F$5,2,FALSE)+(E647*D647+F647)*VLOOKUP(C647,Settings!$A$2:$F$5,3,FALSE)/100+(E647*D647+F647)*VLOOKUP(C647,Settings!$A$2:$F$5,4,FALSE)/100+VLOOKUP(C647,Settings!$A$2:$F$5,5,FALSE)+VLOOKUP(C647,Settings!$A$2:$F$5,6,FALSE),0))</f>
        <v/>
      </c>
      <c r="J647" s="3">
        <f>IF(B647="","",IF(ISNA(MATCH(B647,Inventory!$A$2:$A$201,0)),"Check product",E647*D647+F647-I647-G647-H647))</f>
        <v/>
      </c>
      <c r="K647" s="4">
        <f>IF(OR(B647="",NOT(ISNUMBER(J647)),E647*D647+F647=0),"",J647/(E647*D647+F647))</f>
        <v/>
      </c>
    </row>
    <row r="648">
      <c r="A648" s="8" t="n"/>
      <c r="B648" s="6" t="n"/>
      <c r="C648" s="6" t="n"/>
      <c r="D648" s="6" t="n"/>
      <c r="E648" s="7" t="n"/>
      <c r="F648" s="7" t="n"/>
      <c r="G648" s="7" t="n"/>
      <c r="H648" s="3">
        <f>IFERROR(VLOOKUP(B648,Inventory!$A:$B,2,FALSE)*D648,0)</f>
        <v/>
      </c>
      <c r="I648" s="3">
        <f>IF(C648="",0,IFERROR(VLOOKUP(C648,Settings!$A$2:$F$5,2,FALSE)+(E648*D648+F648)*VLOOKUP(C648,Settings!$A$2:$F$5,3,FALSE)/100+(E648*D648+F648)*VLOOKUP(C648,Settings!$A$2:$F$5,4,FALSE)/100+VLOOKUP(C648,Settings!$A$2:$F$5,5,FALSE)+VLOOKUP(C648,Settings!$A$2:$F$5,6,FALSE),0))</f>
        <v/>
      </c>
      <c r="J648" s="3">
        <f>IF(B648="","",IF(ISNA(MATCH(B648,Inventory!$A$2:$A$201,0)),"Check product",E648*D648+F648-I648-G648-H648))</f>
        <v/>
      </c>
      <c r="K648" s="4">
        <f>IF(OR(B648="",NOT(ISNUMBER(J648)),E648*D648+F648=0),"",J648/(E648*D648+F648))</f>
        <v/>
      </c>
    </row>
    <row r="649">
      <c r="A649" s="8" t="n"/>
      <c r="B649" s="6" t="n"/>
      <c r="C649" s="6" t="n"/>
      <c r="D649" s="6" t="n"/>
      <c r="E649" s="7" t="n"/>
      <c r="F649" s="7" t="n"/>
      <c r="G649" s="7" t="n"/>
      <c r="H649" s="3">
        <f>IFERROR(VLOOKUP(B649,Inventory!$A:$B,2,FALSE)*D649,0)</f>
        <v/>
      </c>
      <c r="I649" s="3">
        <f>IF(C649="",0,IFERROR(VLOOKUP(C649,Settings!$A$2:$F$5,2,FALSE)+(E649*D649+F649)*VLOOKUP(C649,Settings!$A$2:$F$5,3,FALSE)/100+(E649*D649+F649)*VLOOKUP(C649,Settings!$A$2:$F$5,4,FALSE)/100+VLOOKUP(C649,Settings!$A$2:$F$5,5,FALSE)+VLOOKUP(C649,Settings!$A$2:$F$5,6,FALSE),0))</f>
        <v/>
      </c>
      <c r="J649" s="3">
        <f>IF(B649="","",IF(ISNA(MATCH(B649,Inventory!$A$2:$A$201,0)),"Check product",E649*D649+F649-I649-G649-H649))</f>
        <v/>
      </c>
      <c r="K649" s="4">
        <f>IF(OR(B649="",NOT(ISNUMBER(J649)),E649*D649+F649=0),"",J649/(E649*D649+F649))</f>
        <v/>
      </c>
    </row>
    <row r="650">
      <c r="A650" s="8" t="n"/>
      <c r="B650" s="6" t="n"/>
      <c r="C650" s="6" t="n"/>
      <c r="D650" s="6" t="n"/>
      <c r="E650" s="7" t="n"/>
      <c r="F650" s="7" t="n"/>
      <c r="G650" s="7" t="n"/>
      <c r="H650" s="3">
        <f>IFERROR(VLOOKUP(B650,Inventory!$A:$B,2,FALSE)*D650,0)</f>
        <v/>
      </c>
      <c r="I650" s="3">
        <f>IF(C650="",0,IFERROR(VLOOKUP(C650,Settings!$A$2:$F$5,2,FALSE)+(E650*D650+F650)*VLOOKUP(C650,Settings!$A$2:$F$5,3,FALSE)/100+(E650*D650+F650)*VLOOKUP(C650,Settings!$A$2:$F$5,4,FALSE)/100+VLOOKUP(C650,Settings!$A$2:$F$5,5,FALSE)+VLOOKUP(C650,Settings!$A$2:$F$5,6,FALSE),0))</f>
        <v/>
      </c>
      <c r="J650" s="3">
        <f>IF(B650="","",IF(ISNA(MATCH(B650,Inventory!$A$2:$A$201,0)),"Check product",E650*D650+F650-I650-G650-H650))</f>
        <v/>
      </c>
      <c r="K650" s="4">
        <f>IF(OR(B650="",NOT(ISNUMBER(J650)),E650*D650+F650=0),"",J650/(E650*D650+F650))</f>
        <v/>
      </c>
    </row>
    <row r="651">
      <c r="A651" s="8" t="n"/>
      <c r="B651" s="6" t="n"/>
      <c r="C651" s="6" t="n"/>
      <c r="D651" s="6" t="n"/>
      <c r="E651" s="7" t="n"/>
      <c r="F651" s="7" t="n"/>
      <c r="G651" s="7" t="n"/>
      <c r="H651" s="3">
        <f>IFERROR(VLOOKUP(B651,Inventory!$A:$B,2,FALSE)*D651,0)</f>
        <v/>
      </c>
      <c r="I651" s="3">
        <f>IF(C651="",0,IFERROR(VLOOKUP(C651,Settings!$A$2:$F$5,2,FALSE)+(E651*D651+F651)*VLOOKUP(C651,Settings!$A$2:$F$5,3,FALSE)/100+(E651*D651+F651)*VLOOKUP(C651,Settings!$A$2:$F$5,4,FALSE)/100+VLOOKUP(C651,Settings!$A$2:$F$5,5,FALSE)+VLOOKUP(C651,Settings!$A$2:$F$5,6,FALSE),0))</f>
        <v/>
      </c>
      <c r="J651" s="3">
        <f>IF(B651="","",IF(ISNA(MATCH(B651,Inventory!$A$2:$A$201,0)),"Check product",E651*D651+F651-I651-G651-H651))</f>
        <v/>
      </c>
      <c r="K651" s="4">
        <f>IF(OR(B651="",NOT(ISNUMBER(J651)),E651*D651+F651=0),"",J651/(E651*D651+F651))</f>
        <v/>
      </c>
    </row>
    <row r="652">
      <c r="A652" s="8" t="n"/>
      <c r="B652" s="6" t="n"/>
      <c r="C652" s="6" t="n"/>
      <c r="D652" s="6" t="n"/>
      <c r="E652" s="7" t="n"/>
      <c r="F652" s="7" t="n"/>
      <c r="G652" s="7" t="n"/>
      <c r="H652" s="3">
        <f>IFERROR(VLOOKUP(B652,Inventory!$A:$B,2,FALSE)*D652,0)</f>
        <v/>
      </c>
      <c r="I652" s="3">
        <f>IF(C652="",0,IFERROR(VLOOKUP(C652,Settings!$A$2:$F$5,2,FALSE)+(E652*D652+F652)*VLOOKUP(C652,Settings!$A$2:$F$5,3,FALSE)/100+(E652*D652+F652)*VLOOKUP(C652,Settings!$A$2:$F$5,4,FALSE)/100+VLOOKUP(C652,Settings!$A$2:$F$5,5,FALSE)+VLOOKUP(C652,Settings!$A$2:$F$5,6,FALSE),0))</f>
        <v/>
      </c>
      <c r="J652" s="3">
        <f>IF(B652="","",IF(ISNA(MATCH(B652,Inventory!$A$2:$A$201,0)),"Check product",E652*D652+F652-I652-G652-H652))</f>
        <v/>
      </c>
      <c r="K652" s="4">
        <f>IF(OR(B652="",NOT(ISNUMBER(J652)),E652*D652+F652=0),"",J652/(E652*D652+F652))</f>
        <v/>
      </c>
    </row>
    <row r="653">
      <c r="A653" s="8" t="n"/>
      <c r="B653" s="6" t="n"/>
      <c r="C653" s="6" t="n"/>
      <c r="D653" s="6" t="n"/>
      <c r="E653" s="7" t="n"/>
      <c r="F653" s="7" t="n"/>
      <c r="G653" s="7" t="n"/>
      <c r="H653" s="3">
        <f>IFERROR(VLOOKUP(B653,Inventory!$A:$B,2,FALSE)*D653,0)</f>
        <v/>
      </c>
      <c r="I653" s="3">
        <f>IF(C653="",0,IFERROR(VLOOKUP(C653,Settings!$A$2:$F$5,2,FALSE)+(E653*D653+F653)*VLOOKUP(C653,Settings!$A$2:$F$5,3,FALSE)/100+(E653*D653+F653)*VLOOKUP(C653,Settings!$A$2:$F$5,4,FALSE)/100+VLOOKUP(C653,Settings!$A$2:$F$5,5,FALSE)+VLOOKUP(C653,Settings!$A$2:$F$5,6,FALSE),0))</f>
        <v/>
      </c>
      <c r="J653" s="3">
        <f>IF(B653="","",IF(ISNA(MATCH(B653,Inventory!$A$2:$A$201,0)),"Check product",E653*D653+F653-I653-G653-H653))</f>
        <v/>
      </c>
      <c r="K653" s="4">
        <f>IF(OR(B653="",NOT(ISNUMBER(J653)),E653*D653+F653=0),"",J653/(E653*D653+F653))</f>
        <v/>
      </c>
    </row>
    <row r="654">
      <c r="A654" s="8" t="n"/>
      <c r="B654" s="6" t="n"/>
      <c r="C654" s="6" t="n"/>
      <c r="D654" s="6" t="n"/>
      <c r="E654" s="7" t="n"/>
      <c r="F654" s="7" t="n"/>
      <c r="G654" s="7" t="n"/>
      <c r="H654" s="3">
        <f>IFERROR(VLOOKUP(B654,Inventory!$A:$B,2,FALSE)*D654,0)</f>
        <v/>
      </c>
      <c r="I654" s="3">
        <f>IF(C654="",0,IFERROR(VLOOKUP(C654,Settings!$A$2:$F$5,2,FALSE)+(E654*D654+F654)*VLOOKUP(C654,Settings!$A$2:$F$5,3,FALSE)/100+(E654*D654+F654)*VLOOKUP(C654,Settings!$A$2:$F$5,4,FALSE)/100+VLOOKUP(C654,Settings!$A$2:$F$5,5,FALSE)+VLOOKUP(C654,Settings!$A$2:$F$5,6,FALSE),0))</f>
        <v/>
      </c>
      <c r="J654" s="3">
        <f>IF(B654="","",IF(ISNA(MATCH(B654,Inventory!$A$2:$A$201,0)),"Check product",E654*D654+F654-I654-G654-H654))</f>
        <v/>
      </c>
      <c r="K654" s="4">
        <f>IF(OR(B654="",NOT(ISNUMBER(J654)),E654*D654+F654=0),"",J654/(E654*D654+F654))</f>
        <v/>
      </c>
    </row>
    <row r="655">
      <c r="A655" s="8" t="n"/>
      <c r="B655" s="6" t="n"/>
      <c r="C655" s="6" t="n"/>
      <c r="D655" s="6" t="n"/>
      <c r="E655" s="7" t="n"/>
      <c r="F655" s="7" t="n"/>
      <c r="G655" s="7" t="n"/>
      <c r="H655" s="3">
        <f>IFERROR(VLOOKUP(B655,Inventory!$A:$B,2,FALSE)*D655,0)</f>
        <v/>
      </c>
      <c r="I655" s="3">
        <f>IF(C655="",0,IFERROR(VLOOKUP(C655,Settings!$A$2:$F$5,2,FALSE)+(E655*D655+F655)*VLOOKUP(C655,Settings!$A$2:$F$5,3,FALSE)/100+(E655*D655+F655)*VLOOKUP(C655,Settings!$A$2:$F$5,4,FALSE)/100+VLOOKUP(C655,Settings!$A$2:$F$5,5,FALSE)+VLOOKUP(C655,Settings!$A$2:$F$5,6,FALSE),0))</f>
        <v/>
      </c>
      <c r="J655" s="3">
        <f>IF(B655="","",IF(ISNA(MATCH(B655,Inventory!$A$2:$A$201,0)),"Check product",E655*D655+F655-I655-G655-H655))</f>
        <v/>
      </c>
      <c r="K655" s="4">
        <f>IF(OR(B655="",NOT(ISNUMBER(J655)),E655*D655+F655=0),"",J655/(E655*D655+F655))</f>
        <v/>
      </c>
    </row>
    <row r="656">
      <c r="A656" s="8" t="n"/>
      <c r="B656" s="6" t="n"/>
      <c r="C656" s="6" t="n"/>
      <c r="D656" s="6" t="n"/>
      <c r="E656" s="7" t="n"/>
      <c r="F656" s="7" t="n"/>
      <c r="G656" s="7" t="n"/>
      <c r="H656" s="3">
        <f>IFERROR(VLOOKUP(B656,Inventory!$A:$B,2,FALSE)*D656,0)</f>
        <v/>
      </c>
      <c r="I656" s="3">
        <f>IF(C656="",0,IFERROR(VLOOKUP(C656,Settings!$A$2:$F$5,2,FALSE)+(E656*D656+F656)*VLOOKUP(C656,Settings!$A$2:$F$5,3,FALSE)/100+(E656*D656+F656)*VLOOKUP(C656,Settings!$A$2:$F$5,4,FALSE)/100+VLOOKUP(C656,Settings!$A$2:$F$5,5,FALSE)+VLOOKUP(C656,Settings!$A$2:$F$5,6,FALSE),0))</f>
        <v/>
      </c>
      <c r="J656" s="3">
        <f>IF(B656="","",IF(ISNA(MATCH(B656,Inventory!$A$2:$A$201,0)),"Check product",E656*D656+F656-I656-G656-H656))</f>
        <v/>
      </c>
      <c r="K656" s="4">
        <f>IF(OR(B656="",NOT(ISNUMBER(J656)),E656*D656+F656=0),"",J656/(E656*D656+F656))</f>
        <v/>
      </c>
    </row>
    <row r="657">
      <c r="A657" s="8" t="n"/>
      <c r="B657" s="6" t="n"/>
      <c r="C657" s="6" t="n"/>
      <c r="D657" s="6" t="n"/>
      <c r="E657" s="7" t="n"/>
      <c r="F657" s="7" t="n"/>
      <c r="G657" s="7" t="n"/>
      <c r="H657" s="3">
        <f>IFERROR(VLOOKUP(B657,Inventory!$A:$B,2,FALSE)*D657,0)</f>
        <v/>
      </c>
      <c r="I657" s="3">
        <f>IF(C657="",0,IFERROR(VLOOKUP(C657,Settings!$A$2:$F$5,2,FALSE)+(E657*D657+F657)*VLOOKUP(C657,Settings!$A$2:$F$5,3,FALSE)/100+(E657*D657+F657)*VLOOKUP(C657,Settings!$A$2:$F$5,4,FALSE)/100+VLOOKUP(C657,Settings!$A$2:$F$5,5,FALSE)+VLOOKUP(C657,Settings!$A$2:$F$5,6,FALSE),0))</f>
        <v/>
      </c>
      <c r="J657" s="3">
        <f>IF(B657="","",IF(ISNA(MATCH(B657,Inventory!$A$2:$A$201,0)),"Check product",E657*D657+F657-I657-G657-H657))</f>
        <v/>
      </c>
      <c r="K657" s="4">
        <f>IF(OR(B657="",NOT(ISNUMBER(J657)),E657*D657+F657=0),"",J657/(E657*D657+F657))</f>
        <v/>
      </c>
    </row>
    <row r="658">
      <c r="A658" s="8" t="n"/>
      <c r="B658" s="6" t="n"/>
      <c r="C658" s="6" t="n"/>
      <c r="D658" s="6" t="n"/>
      <c r="E658" s="7" t="n"/>
      <c r="F658" s="7" t="n"/>
      <c r="G658" s="7" t="n"/>
      <c r="H658" s="3">
        <f>IFERROR(VLOOKUP(B658,Inventory!$A:$B,2,FALSE)*D658,0)</f>
        <v/>
      </c>
      <c r="I658" s="3">
        <f>IF(C658="",0,IFERROR(VLOOKUP(C658,Settings!$A$2:$F$5,2,FALSE)+(E658*D658+F658)*VLOOKUP(C658,Settings!$A$2:$F$5,3,FALSE)/100+(E658*D658+F658)*VLOOKUP(C658,Settings!$A$2:$F$5,4,FALSE)/100+VLOOKUP(C658,Settings!$A$2:$F$5,5,FALSE)+VLOOKUP(C658,Settings!$A$2:$F$5,6,FALSE),0))</f>
        <v/>
      </c>
      <c r="J658" s="3">
        <f>IF(B658="","",IF(ISNA(MATCH(B658,Inventory!$A$2:$A$201,0)),"Check product",E658*D658+F658-I658-G658-H658))</f>
        <v/>
      </c>
      <c r="K658" s="4">
        <f>IF(OR(B658="",NOT(ISNUMBER(J658)),E658*D658+F658=0),"",J658/(E658*D658+F658))</f>
        <v/>
      </c>
    </row>
    <row r="659">
      <c r="A659" s="8" t="n"/>
      <c r="B659" s="6" t="n"/>
      <c r="C659" s="6" t="n"/>
      <c r="D659" s="6" t="n"/>
      <c r="E659" s="7" t="n"/>
      <c r="F659" s="7" t="n"/>
      <c r="G659" s="7" t="n"/>
      <c r="H659" s="3">
        <f>IFERROR(VLOOKUP(B659,Inventory!$A:$B,2,FALSE)*D659,0)</f>
        <v/>
      </c>
      <c r="I659" s="3">
        <f>IF(C659="",0,IFERROR(VLOOKUP(C659,Settings!$A$2:$F$5,2,FALSE)+(E659*D659+F659)*VLOOKUP(C659,Settings!$A$2:$F$5,3,FALSE)/100+(E659*D659+F659)*VLOOKUP(C659,Settings!$A$2:$F$5,4,FALSE)/100+VLOOKUP(C659,Settings!$A$2:$F$5,5,FALSE)+VLOOKUP(C659,Settings!$A$2:$F$5,6,FALSE),0))</f>
        <v/>
      </c>
      <c r="J659" s="3">
        <f>IF(B659="","",IF(ISNA(MATCH(B659,Inventory!$A$2:$A$201,0)),"Check product",E659*D659+F659-I659-G659-H659))</f>
        <v/>
      </c>
      <c r="K659" s="4">
        <f>IF(OR(B659="",NOT(ISNUMBER(J659)),E659*D659+F659=0),"",J659/(E659*D659+F659))</f>
        <v/>
      </c>
    </row>
    <row r="660">
      <c r="A660" s="8" t="n"/>
      <c r="B660" s="6" t="n"/>
      <c r="C660" s="6" t="n"/>
      <c r="D660" s="6" t="n"/>
      <c r="E660" s="7" t="n"/>
      <c r="F660" s="7" t="n"/>
      <c r="G660" s="7" t="n"/>
      <c r="H660" s="3">
        <f>IFERROR(VLOOKUP(B660,Inventory!$A:$B,2,FALSE)*D660,0)</f>
        <v/>
      </c>
      <c r="I660" s="3">
        <f>IF(C660="",0,IFERROR(VLOOKUP(C660,Settings!$A$2:$F$5,2,FALSE)+(E660*D660+F660)*VLOOKUP(C660,Settings!$A$2:$F$5,3,FALSE)/100+(E660*D660+F660)*VLOOKUP(C660,Settings!$A$2:$F$5,4,FALSE)/100+VLOOKUP(C660,Settings!$A$2:$F$5,5,FALSE)+VLOOKUP(C660,Settings!$A$2:$F$5,6,FALSE),0))</f>
        <v/>
      </c>
      <c r="J660" s="3">
        <f>IF(B660="","",IF(ISNA(MATCH(B660,Inventory!$A$2:$A$201,0)),"Check product",E660*D660+F660-I660-G660-H660))</f>
        <v/>
      </c>
      <c r="K660" s="4">
        <f>IF(OR(B660="",NOT(ISNUMBER(J660)),E660*D660+F660=0),"",J660/(E660*D660+F660))</f>
        <v/>
      </c>
    </row>
    <row r="661">
      <c r="A661" s="8" t="n"/>
      <c r="B661" s="6" t="n"/>
      <c r="C661" s="6" t="n"/>
      <c r="D661" s="6" t="n"/>
      <c r="E661" s="7" t="n"/>
      <c r="F661" s="7" t="n"/>
      <c r="G661" s="7" t="n"/>
      <c r="H661" s="3">
        <f>IFERROR(VLOOKUP(B661,Inventory!$A:$B,2,FALSE)*D661,0)</f>
        <v/>
      </c>
      <c r="I661" s="3">
        <f>IF(C661="",0,IFERROR(VLOOKUP(C661,Settings!$A$2:$F$5,2,FALSE)+(E661*D661+F661)*VLOOKUP(C661,Settings!$A$2:$F$5,3,FALSE)/100+(E661*D661+F661)*VLOOKUP(C661,Settings!$A$2:$F$5,4,FALSE)/100+VLOOKUP(C661,Settings!$A$2:$F$5,5,FALSE)+VLOOKUP(C661,Settings!$A$2:$F$5,6,FALSE),0))</f>
        <v/>
      </c>
      <c r="J661" s="3">
        <f>IF(B661="","",IF(ISNA(MATCH(B661,Inventory!$A$2:$A$201,0)),"Check product",E661*D661+F661-I661-G661-H661))</f>
        <v/>
      </c>
      <c r="K661" s="4">
        <f>IF(OR(B661="",NOT(ISNUMBER(J661)),E661*D661+F661=0),"",J661/(E661*D661+F661))</f>
        <v/>
      </c>
    </row>
    <row r="662">
      <c r="A662" s="8" t="n"/>
      <c r="B662" s="6" t="n"/>
      <c r="C662" s="6" t="n"/>
      <c r="D662" s="6" t="n"/>
      <c r="E662" s="7" t="n"/>
      <c r="F662" s="7" t="n"/>
      <c r="G662" s="7" t="n"/>
      <c r="H662" s="3">
        <f>IFERROR(VLOOKUP(B662,Inventory!$A:$B,2,FALSE)*D662,0)</f>
        <v/>
      </c>
      <c r="I662" s="3">
        <f>IF(C662="",0,IFERROR(VLOOKUP(C662,Settings!$A$2:$F$5,2,FALSE)+(E662*D662+F662)*VLOOKUP(C662,Settings!$A$2:$F$5,3,FALSE)/100+(E662*D662+F662)*VLOOKUP(C662,Settings!$A$2:$F$5,4,FALSE)/100+VLOOKUP(C662,Settings!$A$2:$F$5,5,FALSE)+VLOOKUP(C662,Settings!$A$2:$F$5,6,FALSE),0))</f>
        <v/>
      </c>
      <c r="J662" s="3">
        <f>IF(B662="","",IF(ISNA(MATCH(B662,Inventory!$A$2:$A$201,0)),"Check product",E662*D662+F662-I662-G662-H662))</f>
        <v/>
      </c>
      <c r="K662" s="4">
        <f>IF(OR(B662="",NOT(ISNUMBER(J662)),E662*D662+F662=0),"",J662/(E662*D662+F662))</f>
        <v/>
      </c>
    </row>
    <row r="663">
      <c r="A663" s="8" t="n"/>
      <c r="B663" s="6" t="n"/>
      <c r="C663" s="6" t="n"/>
      <c r="D663" s="6" t="n"/>
      <c r="E663" s="7" t="n"/>
      <c r="F663" s="7" t="n"/>
      <c r="G663" s="7" t="n"/>
      <c r="H663" s="3">
        <f>IFERROR(VLOOKUP(B663,Inventory!$A:$B,2,FALSE)*D663,0)</f>
        <v/>
      </c>
      <c r="I663" s="3">
        <f>IF(C663="",0,IFERROR(VLOOKUP(C663,Settings!$A$2:$F$5,2,FALSE)+(E663*D663+F663)*VLOOKUP(C663,Settings!$A$2:$F$5,3,FALSE)/100+(E663*D663+F663)*VLOOKUP(C663,Settings!$A$2:$F$5,4,FALSE)/100+VLOOKUP(C663,Settings!$A$2:$F$5,5,FALSE)+VLOOKUP(C663,Settings!$A$2:$F$5,6,FALSE),0))</f>
        <v/>
      </c>
      <c r="J663" s="3">
        <f>IF(B663="","",IF(ISNA(MATCH(B663,Inventory!$A$2:$A$201,0)),"Check product",E663*D663+F663-I663-G663-H663))</f>
        <v/>
      </c>
      <c r="K663" s="4">
        <f>IF(OR(B663="",NOT(ISNUMBER(J663)),E663*D663+F663=0),"",J663/(E663*D663+F663))</f>
        <v/>
      </c>
    </row>
    <row r="664">
      <c r="A664" s="8" t="n"/>
      <c r="B664" s="6" t="n"/>
      <c r="C664" s="6" t="n"/>
      <c r="D664" s="6" t="n"/>
      <c r="E664" s="7" t="n"/>
      <c r="F664" s="7" t="n"/>
      <c r="G664" s="7" t="n"/>
      <c r="H664" s="3">
        <f>IFERROR(VLOOKUP(B664,Inventory!$A:$B,2,FALSE)*D664,0)</f>
        <v/>
      </c>
      <c r="I664" s="3">
        <f>IF(C664="",0,IFERROR(VLOOKUP(C664,Settings!$A$2:$F$5,2,FALSE)+(E664*D664+F664)*VLOOKUP(C664,Settings!$A$2:$F$5,3,FALSE)/100+(E664*D664+F664)*VLOOKUP(C664,Settings!$A$2:$F$5,4,FALSE)/100+VLOOKUP(C664,Settings!$A$2:$F$5,5,FALSE)+VLOOKUP(C664,Settings!$A$2:$F$5,6,FALSE),0))</f>
        <v/>
      </c>
      <c r="J664" s="3">
        <f>IF(B664="","",IF(ISNA(MATCH(B664,Inventory!$A$2:$A$201,0)),"Check product",E664*D664+F664-I664-G664-H664))</f>
        <v/>
      </c>
      <c r="K664" s="4">
        <f>IF(OR(B664="",NOT(ISNUMBER(J664)),E664*D664+F664=0),"",J664/(E664*D664+F664))</f>
        <v/>
      </c>
    </row>
    <row r="665">
      <c r="A665" s="8" t="n"/>
      <c r="B665" s="6" t="n"/>
      <c r="C665" s="6" t="n"/>
      <c r="D665" s="6" t="n"/>
      <c r="E665" s="7" t="n"/>
      <c r="F665" s="7" t="n"/>
      <c r="G665" s="7" t="n"/>
      <c r="H665" s="3">
        <f>IFERROR(VLOOKUP(B665,Inventory!$A:$B,2,FALSE)*D665,0)</f>
        <v/>
      </c>
      <c r="I665" s="3">
        <f>IF(C665="",0,IFERROR(VLOOKUP(C665,Settings!$A$2:$F$5,2,FALSE)+(E665*D665+F665)*VLOOKUP(C665,Settings!$A$2:$F$5,3,FALSE)/100+(E665*D665+F665)*VLOOKUP(C665,Settings!$A$2:$F$5,4,FALSE)/100+VLOOKUP(C665,Settings!$A$2:$F$5,5,FALSE)+VLOOKUP(C665,Settings!$A$2:$F$5,6,FALSE),0))</f>
        <v/>
      </c>
      <c r="J665" s="3">
        <f>IF(B665="","",IF(ISNA(MATCH(B665,Inventory!$A$2:$A$201,0)),"Check product",E665*D665+F665-I665-G665-H665))</f>
        <v/>
      </c>
      <c r="K665" s="4">
        <f>IF(OR(B665="",NOT(ISNUMBER(J665)),E665*D665+F665=0),"",J665/(E665*D665+F665))</f>
        <v/>
      </c>
    </row>
    <row r="666">
      <c r="A666" s="8" t="n"/>
      <c r="B666" s="6" t="n"/>
      <c r="C666" s="6" t="n"/>
      <c r="D666" s="6" t="n"/>
      <c r="E666" s="7" t="n"/>
      <c r="F666" s="7" t="n"/>
      <c r="G666" s="7" t="n"/>
      <c r="H666" s="3">
        <f>IFERROR(VLOOKUP(B666,Inventory!$A:$B,2,FALSE)*D666,0)</f>
        <v/>
      </c>
      <c r="I666" s="3">
        <f>IF(C666="",0,IFERROR(VLOOKUP(C666,Settings!$A$2:$F$5,2,FALSE)+(E666*D666+F666)*VLOOKUP(C666,Settings!$A$2:$F$5,3,FALSE)/100+(E666*D666+F666)*VLOOKUP(C666,Settings!$A$2:$F$5,4,FALSE)/100+VLOOKUP(C666,Settings!$A$2:$F$5,5,FALSE)+VLOOKUP(C666,Settings!$A$2:$F$5,6,FALSE),0))</f>
        <v/>
      </c>
      <c r="J666" s="3">
        <f>IF(B666="","",IF(ISNA(MATCH(B666,Inventory!$A$2:$A$201,0)),"Check product",E666*D666+F666-I666-G666-H666))</f>
        <v/>
      </c>
      <c r="K666" s="4">
        <f>IF(OR(B666="",NOT(ISNUMBER(J666)),E666*D666+F666=0),"",J666/(E666*D666+F666))</f>
        <v/>
      </c>
    </row>
    <row r="667">
      <c r="A667" s="8" t="n"/>
      <c r="B667" s="6" t="n"/>
      <c r="C667" s="6" t="n"/>
      <c r="D667" s="6" t="n"/>
      <c r="E667" s="7" t="n"/>
      <c r="F667" s="7" t="n"/>
      <c r="G667" s="7" t="n"/>
      <c r="H667" s="3">
        <f>IFERROR(VLOOKUP(B667,Inventory!$A:$B,2,FALSE)*D667,0)</f>
        <v/>
      </c>
      <c r="I667" s="3">
        <f>IF(C667="",0,IFERROR(VLOOKUP(C667,Settings!$A$2:$F$5,2,FALSE)+(E667*D667+F667)*VLOOKUP(C667,Settings!$A$2:$F$5,3,FALSE)/100+(E667*D667+F667)*VLOOKUP(C667,Settings!$A$2:$F$5,4,FALSE)/100+VLOOKUP(C667,Settings!$A$2:$F$5,5,FALSE)+VLOOKUP(C667,Settings!$A$2:$F$5,6,FALSE),0))</f>
        <v/>
      </c>
      <c r="J667" s="3">
        <f>IF(B667="","",IF(ISNA(MATCH(B667,Inventory!$A$2:$A$201,0)),"Check product",E667*D667+F667-I667-G667-H667))</f>
        <v/>
      </c>
      <c r="K667" s="4">
        <f>IF(OR(B667="",NOT(ISNUMBER(J667)),E667*D667+F667=0),"",J667/(E667*D667+F667))</f>
        <v/>
      </c>
    </row>
    <row r="668">
      <c r="A668" s="8" t="n"/>
      <c r="B668" s="6" t="n"/>
      <c r="C668" s="6" t="n"/>
      <c r="D668" s="6" t="n"/>
      <c r="E668" s="7" t="n"/>
      <c r="F668" s="7" t="n"/>
      <c r="G668" s="7" t="n"/>
      <c r="H668" s="3">
        <f>IFERROR(VLOOKUP(B668,Inventory!$A:$B,2,FALSE)*D668,0)</f>
        <v/>
      </c>
      <c r="I668" s="3">
        <f>IF(C668="",0,IFERROR(VLOOKUP(C668,Settings!$A$2:$F$5,2,FALSE)+(E668*D668+F668)*VLOOKUP(C668,Settings!$A$2:$F$5,3,FALSE)/100+(E668*D668+F668)*VLOOKUP(C668,Settings!$A$2:$F$5,4,FALSE)/100+VLOOKUP(C668,Settings!$A$2:$F$5,5,FALSE)+VLOOKUP(C668,Settings!$A$2:$F$5,6,FALSE),0))</f>
        <v/>
      </c>
      <c r="J668" s="3">
        <f>IF(B668="","",IF(ISNA(MATCH(B668,Inventory!$A$2:$A$201,0)),"Check product",E668*D668+F668-I668-G668-H668))</f>
        <v/>
      </c>
      <c r="K668" s="4">
        <f>IF(OR(B668="",NOT(ISNUMBER(J668)),E668*D668+F668=0),"",J668/(E668*D668+F668))</f>
        <v/>
      </c>
    </row>
    <row r="669">
      <c r="A669" s="8" t="n"/>
      <c r="B669" s="6" t="n"/>
      <c r="C669" s="6" t="n"/>
      <c r="D669" s="6" t="n"/>
      <c r="E669" s="7" t="n"/>
      <c r="F669" s="7" t="n"/>
      <c r="G669" s="7" t="n"/>
      <c r="H669" s="3">
        <f>IFERROR(VLOOKUP(B669,Inventory!$A:$B,2,FALSE)*D669,0)</f>
        <v/>
      </c>
      <c r="I669" s="3">
        <f>IF(C669="",0,IFERROR(VLOOKUP(C669,Settings!$A$2:$F$5,2,FALSE)+(E669*D669+F669)*VLOOKUP(C669,Settings!$A$2:$F$5,3,FALSE)/100+(E669*D669+F669)*VLOOKUP(C669,Settings!$A$2:$F$5,4,FALSE)/100+VLOOKUP(C669,Settings!$A$2:$F$5,5,FALSE)+VLOOKUP(C669,Settings!$A$2:$F$5,6,FALSE),0))</f>
        <v/>
      </c>
      <c r="J669" s="3">
        <f>IF(B669="","",IF(ISNA(MATCH(B669,Inventory!$A$2:$A$201,0)),"Check product",E669*D669+F669-I669-G669-H669))</f>
        <v/>
      </c>
      <c r="K669" s="4">
        <f>IF(OR(B669="",NOT(ISNUMBER(J669)),E669*D669+F669=0),"",J669/(E669*D669+F669))</f>
        <v/>
      </c>
    </row>
    <row r="670">
      <c r="A670" s="8" t="n"/>
      <c r="B670" s="6" t="n"/>
      <c r="C670" s="6" t="n"/>
      <c r="D670" s="6" t="n"/>
      <c r="E670" s="7" t="n"/>
      <c r="F670" s="7" t="n"/>
      <c r="G670" s="7" t="n"/>
      <c r="H670" s="3">
        <f>IFERROR(VLOOKUP(B670,Inventory!$A:$B,2,FALSE)*D670,0)</f>
        <v/>
      </c>
      <c r="I670" s="3">
        <f>IF(C670="",0,IFERROR(VLOOKUP(C670,Settings!$A$2:$F$5,2,FALSE)+(E670*D670+F670)*VLOOKUP(C670,Settings!$A$2:$F$5,3,FALSE)/100+(E670*D670+F670)*VLOOKUP(C670,Settings!$A$2:$F$5,4,FALSE)/100+VLOOKUP(C670,Settings!$A$2:$F$5,5,FALSE)+VLOOKUP(C670,Settings!$A$2:$F$5,6,FALSE),0))</f>
        <v/>
      </c>
      <c r="J670" s="3">
        <f>IF(B670="","",IF(ISNA(MATCH(B670,Inventory!$A$2:$A$201,0)),"Check product",E670*D670+F670-I670-G670-H670))</f>
        <v/>
      </c>
      <c r="K670" s="4">
        <f>IF(OR(B670="",NOT(ISNUMBER(J670)),E670*D670+F670=0),"",J670/(E670*D670+F670))</f>
        <v/>
      </c>
    </row>
    <row r="671">
      <c r="A671" s="8" t="n"/>
      <c r="B671" s="6" t="n"/>
      <c r="C671" s="6" t="n"/>
      <c r="D671" s="6" t="n"/>
      <c r="E671" s="7" t="n"/>
      <c r="F671" s="7" t="n"/>
      <c r="G671" s="7" t="n"/>
      <c r="H671" s="3">
        <f>IFERROR(VLOOKUP(B671,Inventory!$A:$B,2,FALSE)*D671,0)</f>
        <v/>
      </c>
      <c r="I671" s="3">
        <f>IF(C671="",0,IFERROR(VLOOKUP(C671,Settings!$A$2:$F$5,2,FALSE)+(E671*D671+F671)*VLOOKUP(C671,Settings!$A$2:$F$5,3,FALSE)/100+(E671*D671+F671)*VLOOKUP(C671,Settings!$A$2:$F$5,4,FALSE)/100+VLOOKUP(C671,Settings!$A$2:$F$5,5,FALSE)+VLOOKUP(C671,Settings!$A$2:$F$5,6,FALSE),0))</f>
        <v/>
      </c>
      <c r="J671" s="3">
        <f>IF(B671="","",IF(ISNA(MATCH(B671,Inventory!$A$2:$A$201,0)),"Check product",E671*D671+F671-I671-G671-H671))</f>
        <v/>
      </c>
      <c r="K671" s="4">
        <f>IF(OR(B671="",NOT(ISNUMBER(J671)),E671*D671+F671=0),"",J671/(E671*D671+F671))</f>
        <v/>
      </c>
    </row>
    <row r="672">
      <c r="A672" s="8" t="n"/>
      <c r="B672" s="6" t="n"/>
      <c r="C672" s="6" t="n"/>
      <c r="D672" s="6" t="n"/>
      <c r="E672" s="7" t="n"/>
      <c r="F672" s="7" t="n"/>
      <c r="G672" s="7" t="n"/>
      <c r="H672" s="3">
        <f>IFERROR(VLOOKUP(B672,Inventory!$A:$B,2,FALSE)*D672,0)</f>
        <v/>
      </c>
      <c r="I672" s="3">
        <f>IF(C672="",0,IFERROR(VLOOKUP(C672,Settings!$A$2:$F$5,2,FALSE)+(E672*D672+F672)*VLOOKUP(C672,Settings!$A$2:$F$5,3,FALSE)/100+(E672*D672+F672)*VLOOKUP(C672,Settings!$A$2:$F$5,4,FALSE)/100+VLOOKUP(C672,Settings!$A$2:$F$5,5,FALSE)+VLOOKUP(C672,Settings!$A$2:$F$5,6,FALSE),0))</f>
        <v/>
      </c>
      <c r="J672" s="3">
        <f>IF(B672="","",IF(ISNA(MATCH(B672,Inventory!$A$2:$A$201,0)),"Check product",E672*D672+F672-I672-G672-H672))</f>
        <v/>
      </c>
      <c r="K672" s="4">
        <f>IF(OR(B672="",NOT(ISNUMBER(J672)),E672*D672+F672=0),"",J672/(E672*D672+F672))</f>
        <v/>
      </c>
    </row>
    <row r="673">
      <c r="A673" s="8" t="n"/>
      <c r="B673" s="6" t="n"/>
      <c r="C673" s="6" t="n"/>
      <c r="D673" s="6" t="n"/>
      <c r="E673" s="7" t="n"/>
      <c r="F673" s="7" t="n"/>
      <c r="G673" s="7" t="n"/>
      <c r="H673" s="3">
        <f>IFERROR(VLOOKUP(B673,Inventory!$A:$B,2,FALSE)*D673,0)</f>
        <v/>
      </c>
      <c r="I673" s="3">
        <f>IF(C673="",0,IFERROR(VLOOKUP(C673,Settings!$A$2:$F$5,2,FALSE)+(E673*D673+F673)*VLOOKUP(C673,Settings!$A$2:$F$5,3,FALSE)/100+(E673*D673+F673)*VLOOKUP(C673,Settings!$A$2:$F$5,4,FALSE)/100+VLOOKUP(C673,Settings!$A$2:$F$5,5,FALSE)+VLOOKUP(C673,Settings!$A$2:$F$5,6,FALSE),0))</f>
        <v/>
      </c>
      <c r="J673" s="3">
        <f>IF(B673="","",IF(ISNA(MATCH(B673,Inventory!$A$2:$A$201,0)),"Check product",E673*D673+F673-I673-G673-H673))</f>
        <v/>
      </c>
      <c r="K673" s="4">
        <f>IF(OR(B673="",NOT(ISNUMBER(J673)),E673*D673+F673=0),"",J673/(E673*D673+F673))</f>
        <v/>
      </c>
    </row>
    <row r="674">
      <c r="A674" s="8" t="n"/>
      <c r="B674" s="6" t="n"/>
      <c r="C674" s="6" t="n"/>
      <c r="D674" s="6" t="n"/>
      <c r="E674" s="7" t="n"/>
      <c r="F674" s="7" t="n"/>
      <c r="G674" s="7" t="n"/>
      <c r="H674" s="3">
        <f>IFERROR(VLOOKUP(B674,Inventory!$A:$B,2,FALSE)*D674,0)</f>
        <v/>
      </c>
      <c r="I674" s="3">
        <f>IF(C674="",0,IFERROR(VLOOKUP(C674,Settings!$A$2:$F$5,2,FALSE)+(E674*D674+F674)*VLOOKUP(C674,Settings!$A$2:$F$5,3,FALSE)/100+(E674*D674+F674)*VLOOKUP(C674,Settings!$A$2:$F$5,4,FALSE)/100+VLOOKUP(C674,Settings!$A$2:$F$5,5,FALSE)+VLOOKUP(C674,Settings!$A$2:$F$5,6,FALSE),0))</f>
        <v/>
      </c>
      <c r="J674" s="3">
        <f>IF(B674="","",IF(ISNA(MATCH(B674,Inventory!$A$2:$A$201,0)),"Check product",E674*D674+F674-I674-G674-H674))</f>
        <v/>
      </c>
      <c r="K674" s="4">
        <f>IF(OR(B674="",NOT(ISNUMBER(J674)),E674*D674+F674=0),"",J674/(E674*D674+F674))</f>
        <v/>
      </c>
    </row>
    <row r="675">
      <c r="A675" s="8" t="n"/>
      <c r="B675" s="6" t="n"/>
      <c r="C675" s="6" t="n"/>
      <c r="D675" s="6" t="n"/>
      <c r="E675" s="7" t="n"/>
      <c r="F675" s="7" t="n"/>
      <c r="G675" s="7" t="n"/>
      <c r="H675" s="3">
        <f>IFERROR(VLOOKUP(B675,Inventory!$A:$B,2,FALSE)*D675,0)</f>
        <v/>
      </c>
      <c r="I675" s="3">
        <f>IF(C675="",0,IFERROR(VLOOKUP(C675,Settings!$A$2:$F$5,2,FALSE)+(E675*D675+F675)*VLOOKUP(C675,Settings!$A$2:$F$5,3,FALSE)/100+(E675*D675+F675)*VLOOKUP(C675,Settings!$A$2:$F$5,4,FALSE)/100+VLOOKUP(C675,Settings!$A$2:$F$5,5,FALSE)+VLOOKUP(C675,Settings!$A$2:$F$5,6,FALSE),0))</f>
        <v/>
      </c>
      <c r="J675" s="3">
        <f>IF(B675="","",IF(ISNA(MATCH(B675,Inventory!$A$2:$A$201,0)),"Check product",E675*D675+F675-I675-G675-H675))</f>
        <v/>
      </c>
      <c r="K675" s="4">
        <f>IF(OR(B675="",NOT(ISNUMBER(J675)),E675*D675+F675=0),"",J675/(E675*D675+F675))</f>
        <v/>
      </c>
    </row>
    <row r="676">
      <c r="A676" s="8" t="n"/>
      <c r="B676" s="6" t="n"/>
      <c r="C676" s="6" t="n"/>
      <c r="D676" s="6" t="n"/>
      <c r="E676" s="7" t="n"/>
      <c r="F676" s="7" t="n"/>
      <c r="G676" s="7" t="n"/>
      <c r="H676" s="3">
        <f>IFERROR(VLOOKUP(B676,Inventory!$A:$B,2,FALSE)*D676,0)</f>
        <v/>
      </c>
      <c r="I676" s="3">
        <f>IF(C676="",0,IFERROR(VLOOKUP(C676,Settings!$A$2:$F$5,2,FALSE)+(E676*D676+F676)*VLOOKUP(C676,Settings!$A$2:$F$5,3,FALSE)/100+(E676*D676+F676)*VLOOKUP(C676,Settings!$A$2:$F$5,4,FALSE)/100+VLOOKUP(C676,Settings!$A$2:$F$5,5,FALSE)+VLOOKUP(C676,Settings!$A$2:$F$5,6,FALSE),0))</f>
        <v/>
      </c>
      <c r="J676" s="3">
        <f>IF(B676="","",IF(ISNA(MATCH(B676,Inventory!$A$2:$A$201,0)),"Check product",E676*D676+F676-I676-G676-H676))</f>
        <v/>
      </c>
      <c r="K676" s="4">
        <f>IF(OR(B676="",NOT(ISNUMBER(J676)),E676*D676+F676=0),"",J676/(E676*D676+F676))</f>
        <v/>
      </c>
    </row>
    <row r="677">
      <c r="A677" s="8" t="n"/>
      <c r="B677" s="6" t="n"/>
      <c r="C677" s="6" t="n"/>
      <c r="D677" s="6" t="n"/>
      <c r="E677" s="7" t="n"/>
      <c r="F677" s="7" t="n"/>
      <c r="G677" s="7" t="n"/>
      <c r="H677" s="3">
        <f>IFERROR(VLOOKUP(B677,Inventory!$A:$B,2,FALSE)*D677,0)</f>
        <v/>
      </c>
      <c r="I677" s="3">
        <f>IF(C677="",0,IFERROR(VLOOKUP(C677,Settings!$A$2:$F$5,2,FALSE)+(E677*D677+F677)*VLOOKUP(C677,Settings!$A$2:$F$5,3,FALSE)/100+(E677*D677+F677)*VLOOKUP(C677,Settings!$A$2:$F$5,4,FALSE)/100+VLOOKUP(C677,Settings!$A$2:$F$5,5,FALSE)+VLOOKUP(C677,Settings!$A$2:$F$5,6,FALSE),0))</f>
        <v/>
      </c>
      <c r="J677" s="3">
        <f>IF(B677="","",IF(ISNA(MATCH(B677,Inventory!$A$2:$A$201,0)),"Check product",E677*D677+F677-I677-G677-H677))</f>
        <v/>
      </c>
      <c r="K677" s="4">
        <f>IF(OR(B677="",NOT(ISNUMBER(J677)),E677*D677+F677=0),"",J677/(E677*D677+F677))</f>
        <v/>
      </c>
    </row>
    <row r="678">
      <c r="A678" s="8" t="n"/>
      <c r="B678" s="6" t="n"/>
      <c r="C678" s="6" t="n"/>
      <c r="D678" s="6" t="n"/>
      <c r="E678" s="7" t="n"/>
      <c r="F678" s="7" t="n"/>
      <c r="G678" s="7" t="n"/>
      <c r="H678" s="3">
        <f>IFERROR(VLOOKUP(B678,Inventory!$A:$B,2,FALSE)*D678,0)</f>
        <v/>
      </c>
      <c r="I678" s="3">
        <f>IF(C678="",0,IFERROR(VLOOKUP(C678,Settings!$A$2:$F$5,2,FALSE)+(E678*D678+F678)*VLOOKUP(C678,Settings!$A$2:$F$5,3,FALSE)/100+(E678*D678+F678)*VLOOKUP(C678,Settings!$A$2:$F$5,4,FALSE)/100+VLOOKUP(C678,Settings!$A$2:$F$5,5,FALSE)+VLOOKUP(C678,Settings!$A$2:$F$5,6,FALSE),0))</f>
        <v/>
      </c>
      <c r="J678" s="3">
        <f>IF(B678="","",IF(ISNA(MATCH(B678,Inventory!$A$2:$A$201,0)),"Check product",E678*D678+F678-I678-G678-H678))</f>
        <v/>
      </c>
      <c r="K678" s="4">
        <f>IF(OR(B678="",NOT(ISNUMBER(J678)),E678*D678+F678=0),"",J678/(E678*D678+F678))</f>
        <v/>
      </c>
    </row>
    <row r="679">
      <c r="A679" s="8" t="n"/>
      <c r="B679" s="6" t="n"/>
      <c r="C679" s="6" t="n"/>
      <c r="D679" s="6" t="n"/>
      <c r="E679" s="7" t="n"/>
      <c r="F679" s="7" t="n"/>
      <c r="G679" s="7" t="n"/>
      <c r="H679" s="3">
        <f>IFERROR(VLOOKUP(B679,Inventory!$A:$B,2,FALSE)*D679,0)</f>
        <v/>
      </c>
      <c r="I679" s="3">
        <f>IF(C679="",0,IFERROR(VLOOKUP(C679,Settings!$A$2:$F$5,2,FALSE)+(E679*D679+F679)*VLOOKUP(C679,Settings!$A$2:$F$5,3,FALSE)/100+(E679*D679+F679)*VLOOKUP(C679,Settings!$A$2:$F$5,4,FALSE)/100+VLOOKUP(C679,Settings!$A$2:$F$5,5,FALSE)+VLOOKUP(C679,Settings!$A$2:$F$5,6,FALSE),0))</f>
        <v/>
      </c>
      <c r="J679" s="3">
        <f>IF(B679="","",IF(ISNA(MATCH(B679,Inventory!$A$2:$A$201,0)),"Check product",E679*D679+F679-I679-G679-H679))</f>
        <v/>
      </c>
      <c r="K679" s="4">
        <f>IF(OR(B679="",NOT(ISNUMBER(J679)),E679*D679+F679=0),"",J679/(E679*D679+F679))</f>
        <v/>
      </c>
    </row>
    <row r="680">
      <c r="A680" s="8" t="n"/>
      <c r="B680" s="6" t="n"/>
      <c r="C680" s="6" t="n"/>
      <c r="D680" s="6" t="n"/>
      <c r="E680" s="7" t="n"/>
      <c r="F680" s="7" t="n"/>
      <c r="G680" s="7" t="n"/>
      <c r="H680" s="3">
        <f>IFERROR(VLOOKUP(B680,Inventory!$A:$B,2,FALSE)*D680,0)</f>
        <v/>
      </c>
      <c r="I680" s="3">
        <f>IF(C680="",0,IFERROR(VLOOKUP(C680,Settings!$A$2:$F$5,2,FALSE)+(E680*D680+F680)*VLOOKUP(C680,Settings!$A$2:$F$5,3,FALSE)/100+(E680*D680+F680)*VLOOKUP(C680,Settings!$A$2:$F$5,4,FALSE)/100+VLOOKUP(C680,Settings!$A$2:$F$5,5,FALSE)+VLOOKUP(C680,Settings!$A$2:$F$5,6,FALSE),0))</f>
        <v/>
      </c>
      <c r="J680" s="3">
        <f>IF(B680="","",IF(ISNA(MATCH(B680,Inventory!$A$2:$A$201,0)),"Check product",E680*D680+F680-I680-G680-H680))</f>
        <v/>
      </c>
      <c r="K680" s="4">
        <f>IF(OR(B680="",NOT(ISNUMBER(J680)),E680*D680+F680=0),"",J680/(E680*D680+F680))</f>
        <v/>
      </c>
    </row>
    <row r="681">
      <c r="A681" s="8" t="n"/>
      <c r="B681" s="6" t="n"/>
      <c r="C681" s="6" t="n"/>
      <c r="D681" s="6" t="n"/>
      <c r="E681" s="7" t="n"/>
      <c r="F681" s="7" t="n"/>
      <c r="G681" s="7" t="n"/>
      <c r="H681" s="3">
        <f>IFERROR(VLOOKUP(B681,Inventory!$A:$B,2,FALSE)*D681,0)</f>
        <v/>
      </c>
      <c r="I681" s="3">
        <f>IF(C681="",0,IFERROR(VLOOKUP(C681,Settings!$A$2:$F$5,2,FALSE)+(E681*D681+F681)*VLOOKUP(C681,Settings!$A$2:$F$5,3,FALSE)/100+(E681*D681+F681)*VLOOKUP(C681,Settings!$A$2:$F$5,4,FALSE)/100+VLOOKUP(C681,Settings!$A$2:$F$5,5,FALSE)+VLOOKUP(C681,Settings!$A$2:$F$5,6,FALSE),0))</f>
        <v/>
      </c>
      <c r="J681" s="3">
        <f>IF(B681="","",IF(ISNA(MATCH(B681,Inventory!$A$2:$A$201,0)),"Check product",E681*D681+F681-I681-G681-H681))</f>
        <v/>
      </c>
      <c r="K681" s="4">
        <f>IF(OR(B681="",NOT(ISNUMBER(J681)),E681*D681+F681=0),"",J681/(E681*D681+F681))</f>
        <v/>
      </c>
    </row>
    <row r="682">
      <c r="A682" s="8" t="n"/>
      <c r="B682" s="6" t="n"/>
      <c r="C682" s="6" t="n"/>
      <c r="D682" s="6" t="n"/>
      <c r="E682" s="7" t="n"/>
      <c r="F682" s="7" t="n"/>
      <c r="G682" s="7" t="n"/>
      <c r="H682" s="3">
        <f>IFERROR(VLOOKUP(B682,Inventory!$A:$B,2,FALSE)*D682,0)</f>
        <v/>
      </c>
      <c r="I682" s="3">
        <f>IF(C682="",0,IFERROR(VLOOKUP(C682,Settings!$A$2:$F$5,2,FALSE)+(E682*D682+F682)*VLOOKUP(C682,Settings!$A$2:$F$5,3,FALSE)/100+(E682*D682+F682)*VLOOKUP(C682,Settings!$A$2:$F$5,4,FALSE)/100+VLOOKUP(C682,Settings!$A$2:$F$5,5,FALSE)+VLOOKUP(C682,Settings!$A$2:$F$5,6,FALSE),0))</f>
        <v/>
      </c>
      <c r="J682" s="3">
        <f>IF(B682="","",IF(ISNA(MATCH(B682,Inventory!$A$2:$A$201,0)),"Check product",E682*D682+F682-I682-G682-H682))</f>
        <v/>
      </c>
      <c r="K682" s="4">
        <f>IF(OR(B682="",NOT(ISNUMBER(J682)),E682*D682+F682=0),"",J682/(E682*D682+F682))</f>
        <v/>
      </c>
    </row>
    <row r="683">
      <c r="A683" s="8" t="n"/>
      <c r="B683" s="6" t="n"/>
      <c r="C683" s="6" t="n"/>
      <c r="D683" s="6" t="n"/>
      <c r="E683" s="7" t="n"/>
      <c r="F683" s="7" t="n"/>
      <c r="G683" s="7" t="n"/>
      <c r="H683" s="3">
        <f>IFERROR(VLOOKUP(B683,Inventory!$A:$B,2,FALSE)*D683,0)</f>
        <v/>
      </c>
      <c r="I683" s="3">
        <f>IF(C683="",0,IFERROR(VLOOKUP(C683,Settings!$A$2:$F$5,2,FALSE)+(E683*D683+F683)*VLOOKUP(C683,Settings!$A$2:$F$5,3,FALSE)/100+(E683*D683+F683)*VLOOKUP(C683,Settings!$A$2:$F$5,4,FALSE)/100+VLOOKUP(C683,Settings!$A$2:$F$5,5,FALSE)+VLOOKUP(C683,Settings!$A$2:$F$5,6,FALSE),0))</f>
        <v/>
      </c>
      <c r="J683" s="3">
        <f>IF(B683="","",IF(ISNA(MATCH(B683,Inventory!$A$2:$A$201,0)),"Check product",E683*D683+F683-I683-G683-H683))</f>
        <v/>
      </c>
      <c r="K683" s="4">
        <f>IF(OR(B683="",NOT(ISNUMBER(J683)),E683*D683+F683=0),"",J683/(E683*D683+F683))</f>
        <v/>
      </c>
    </row>
    <row r="684">
      <c r="A684" s="8" t="n"/>
      <c r="B684" s="6" t="n"/>
      <c r="C684" s="6" t="n"/>
      <c r="D684" s="6" t="n"/>
      <c r="E684" s="7" t="n"/>
      <c r="F684" s="7" t="n"/>
      <c r="G684" s="7" t="n"/>
      <c r="H684" s="3">
        <f>IFERROR(VLOOKUP(B684,Inventory!$A:$B,2,FALSE)*D684,0)</f>
        <v/>
      </c>
      <c r="I684" s="3">
        <f>IF(C684="",0,IFERROR(VLOOKUP(C684,Settings!$A$2:$F$5,2,FALSE)+(E684*D684+F684)*VLOOKUP(C684,Settings!$A$2:$F$5,3,FALSE)/100+(E684*D684+F684)*VLOOKUP(C684,Settings!$A$2:$F$5,4,FALSE)/100+VLOOKUP(C684,Settings!$A$2:$F$5,5,FALSE)+VLOOKUP(C684,Settings!$A$2:$F$5,6,FALSE),0))</f>
        <v/>
      </c>
      <c r="J684" s="3">
        <f>IF(B684="","",IF(ISNA(MATCH(B684,Inventory!$A$2:$A$201,0)),"Check product",E684*D684+F684-I684-G684-H684))</f>
        <v/>
      </c>
      <c r="K684" s="4">
        <f>IF(OR(B684="",NOT(ISNUMBER(J684)),E684*D684+F684=0),"",J684/(E684*D684+F684))</f>
        <v/>
      </c>
    </row>
    <row r="685">
      <c r="A685" s="8" t="n"/>
      <c r="B685" s="6" t="n"/>
      <c r="C685" s="6" t="n"/>
      <c r="D685" s="6" t="n"/>
      <c r="E685" s="7" t="n"/>
      <c r="F685" s="7" t="n"/>
      <c r="G685" s="7" t="n"/>
      <c r="H685" s="3">
        <f>IFERROR(VLOOKUP(B685,Inventory!$A:$B,2,FALSE)*D685,0)</f>
        <v/>
      </c>
      <c r="I685" s="3">
        <f>IF(C685="",0,IFERROR(VLOOKUP(C685,Settings!$A$2:$F$5,2,FALSE)+(E685*D685+F685)*VLOOKUP(C685,Settings!$A$2:$F$5,3,FALSE)/100+(E685*D685+F685)*VLOOKUP(C685,Settings!$A$2:$F$5,4,FALSE)/100+VLOOKUP(C685,Settings!$A$2:$F$5,5,FALSE)+VLOOKUP(C685,Settings!$A$2:$F$5,6,FALSE),0))</f>
        <v/>
      </c>
      <c r="J685" s="3">
        <f>IF(B685="","",IF(ISNA(MATCH(B685,Inventory!$A$2:$A$201,0)),"Check product",E685*D685+F685-I685-G685-H685))</f>
        <v/>
      </c>
      <c r="K685" s="4">
        <f>IF(OR(B685="",NOT(ISNUMBER(J685)),E685*D685+F685=0),"",J685/(E685*D685+F685))</f>
        <v/>
      </c>
    </row>
    <row r="686">
      <c r="A686" s="8" t="n"/>
      <c r="B686" s="6" t="n"/>
      <c r="C686" s="6" t="n"/>
      <c r="D686" s="6" t="n"/>
      <c r="E686" s="7" t="n"/>
      <c r="F686" s="7" t="n"/>
      <c r="G686" s="7" t="n"/>
      <c r="H686" s="3">
        <f>IFERROR(VLOOKUP(B686,Inventory!$A:$B,2,FALSE)*D686,0)</f>
        <v/>
      </c>
      <c r="I686" s="3">
        <f>IF(C686="",0,IFERROR(VLOOKUP(C686,Settings!$A$2:$F$5,2,FALSE)+(E686*D686+F686)*VLOOKUP(C686,Settings!$A$2:$F$5,3,FALSE)/100+(E686*D686+F686)*VLOOKUP(C686,Settings!$A$2:$F$5,4,FALSE)/100+VLOOKUP(C686,Settings!$A$2:$F$5,5,FALSE)+VLOOKUP(C686,Settings!$A$2:$F$5,6,FALSE),0))</f>
        <v/>
      </c>
      <c r="J686" s="3">
        <f>IF(B686="","",IF(ISNA(MATCH(B686,Inventory!$A$2:$A$201,0)),"Check product",E686*D686+F686-I686-G686-H686))</f>
        <v/>
      </c>
      <c r="K686" s="4">
        <f>IF(OR(B686="",NOT(ISNUMBER(J686)),E686*D686+F686=0),"",J686/(E686*D686+F686))</f>
        <v/>
      </c>
    </row>
    <row r="687">
      <c r="A687" s="8" t="n"/>
      <c r="B687" s="6" t="n"/>
      <c r="C687" s="6" t="n"/>
      <c r="D687" s="6" t="n"/>
      <c r="E687" s="7" t="n"/>
      <c r="F687" s="7" t="n"/>
      <c r="G687" s="7" t="n"/>
      <c r="H687" s="3">
        <f>IFERROR(VLOOKUP(B687,Inventory!$A:$B,2,FALSE)*D687,0)</f>
        <v/>
      </c>
      <c r="I687" s="3">
        <f>IF(C687="",0,IFERROR(VLOOKUP(C687,Settings!$A$2:$F$5,2,FALSE)+(E687*D687+F687)*VLOOKUP(C687,Settings!$A$2:$F$5,3,FALSE)/100+(E687*D687+F687)*VLOOKUP(C687,Settings!$A$2:$F$5,4,FALSE)/100+VLOOKUP(C687,Settings!$A$2:$F$5,5,FALSE)+VLOOKUP(C687,Settings!$A$2:$F$5,6,FALSE),0))</f>
        <v/>
      </c>
      <c r="J687" s="3">
        <f>IF(B687="","",IF(ISNA(MATCH(B687,Inventory!$A$2:$A$201,0)),"Check product",E687*D687+F687-I687-G687-H687))</f>
        <v/>
      </c>
      <c r="K687" s="4">
        <f>IF(OR(B687="",NOT(ISNUMBER(J687)),E687*D687+F687=0),"",J687/(E687*D687+F687))</f>
        <v/>
      </c>
    </row>
    <row r="688">
      <c r="A688" s="8" t="n"/>
      <c r="B688" s="6" t="n"/>
      <c r="C688" s="6" t="n"/>
      <c r="D688" s="6" t="n"/>
      <c r="E688" s="7" t="n"/>
      <c r="F688" s="7" t="n"/>
      <c r="G688" s="7" t="n"/>
      <c r="H688" s="3">
        <f>IFERROR(VLOOKUP(B688,Inventory!$A:$B,2,FALSE)*D688,0)</f>
        <v/>
      </c>
      <c r="I688" s="3">
        <f>IF(C688="",0,IFERROR(VLOOKUP(C688,Settings!$A$2:$F$5,2,FALSE)+(E688*D688+F688)*VLOOKUP(C688,Settings!$A$2:$F$5,3,FALSE)/100+(E688*D688+F688)*VLOOKUP(C688,Settings!$A$2:$F$5,4,FALSE)/100+VLOOKUP(C688,Settings!$A$2:$F$5,5,FALSE)+VLOOKUP(C688,Settings!$A$2:$F$5,6,FALSE),0))</f>
        <v/>
      </c>
      <c r="J688" s="3">
        <f>IF(B688="","",IF(ISNA(MATCH(B688,Inventory!$A$2:$A$201,0)),"Check product",E688*D688+F688-I688-G688-H688))</f>
        <v/>
      </c>
      <c r="K688" s="4">
        <f>IF(OR(B688="",NOT(ISNUMBER(J688)),E688*D688+F688=0),"",J688/(E688*D688+F688))</f>
        <v/>
      </c>
    </row>
    <row r="689">
      <c r="A689" s="8" t="n"/>
      <c r="B689" s="6" t="n"/>
      <c r="C689" s="6" t="n"/>
      <c r="D689" s="6" t="n"/>
      <c r="E689" s="7" t="n"/>
      <c r="F689" s="7" t="n"/>
      <c r="G689" s="7" t="n"/>
      <c r="H689" s="3">
        <f>IFERROR(VLOOKUP(B689,Inventory!$A:$B,2,FALSE)*D689,0)</f>
        <v/>
      </c>
      <c r="I689" s="3">
        <f>IF(C689="",0,IFERROR(VLOOKUP(C689,Settings!$A$2:$F$5,2,FALSE)+(E689*D689+F689)*VLOOKUP(C689,Settings!$A$2:$F$5,3,FALSE)/100+(E689*D689+F689)*VLOOKUP(C689,Settings!$A$2:$F$5,4,FALSE)/100+VLOOKUP(C689,Settings!$A$2:$F$5,5,FALSE)+VLOOKUP(C689,Settings!$A$2:$F$5,6,FALSE),0))</f>
        <v/>
      </c>
      <c r="J689" s="3">
        <f>IF(B689="","",IF(ISNA(MATCH(B689,Inventory!$A$2:$A$201,0)),"Check product",E689*D689+F689-I689-G689-H689))</f>
        <v/>
      </c>
      <c r="K689" s="4">
        <f>IF(OR(B689="",NOT(ISNUMBER(J689)),E689*D689+F689=0),"",J689/(E689*D689+F689))</f>
        <v/>
      </c>
    </row>
    <row r="690">
      <c r="A690" s="8" t="n"/>
      <c r="B690" s="6" t="n"/>
      <c r="C690" s="6" t="n"/>
      <c r="D690" s="6" t="n"/>
      <c r="E690" s="7" t="n"/>
      <c r="F690" s="7" t="n"/>
      <c r="G690" s="7" t="n"/>
      <c r="H690" s="3">
        <f>IFERROR(VLOOKUP(B690,Inventory!$A:$B,2,FALSE)*D690,0)</f>
        <v/>
      </c>
      <c r="I690" s="3">
        <f>IF(C690="",0,IFERROR(VLOOKUP(C690,Settings!$A$2:$F$5,2,FALSE)+(E690*D690+F690)*VLOOKUP(C690,Settings!$A$2:$F$5,3,FALSE)/100+(E690*D690+F690)*VLOOKUP(C690,Settings!$A$2:$F$5,4,FALSE)/100+VLOOKUP(C690,Settings!$A$2:$F$5,5,FALSE)+VLOOKUP(C690,Settings!$A$2:$F$5,6,FALSE),0))</f>
        <v/>
      </c>
      <c r="J690" s="3">
        <f>IF(B690="","",IF(ISNA(MATCH(B690,Inventory!$A$2:$A$201,0)),"Check product",E690*D690+F690-I690-G690-H690))</f>
        <v/>
      </c>
      <c r="K690" s="4">
        <f>IF(OR(B690="",NOT(ISNUMBER(J690)),E690*D690+F690=0),"",J690/(E690*D690+F690))</f>
        <v/>
      </c>
    </row>
    <row r="691">
      <c r="A691" s="8" t="n"/>
      <c r="B691" s="6" t="n"/>
      <c r="C691" s="6" t="n"/>
      <c r="D691" s="6" t="n"/>
      <c r="E691" s="7" t="n"/>
      <c r="F691" s="7" t="n"/>
      <c r="G691" s="7" t="n"/>
      <c r="H691" s="3">
        <f>IFERROR(VLOOKUP(B691,Inventory!$A:$B,2,FALSE)*D691,0)</f>
        <v/>
      </c>
      <c r="I691" s="3">
        <f>IF(C691="",0,IFERROR(VLOOKUP(C691,Settings!$A$2:$F$5,2,FALSE)+(E691*D691+F691)*VLOOKUP(C691,Settings!$A$2:$F$5,3,FALSE)/100+(E691*D691+F691)*VLOOKUP(C691,Settings!$A$2:$F$5,4,FALSE)/100+VLOOKUP(C691,Settings!$A$2:$F$5,5,FALSE)+VLOOKUP(C691,Settings!$A$2:$F$5,6,FALSE),0))</f>
        <v/>
      </c>
      <c r="J691" s="3">
        <f>IF(B691="","",IF(ISNA(MATCH(B691,Inventory!$A$2:$A$201,0)),"Check product",E691*D691+F691-I691-G691-H691))</f>
        <v/>
      </c>
      <c r="K691" s="4">
        <f>IF(OR(B691="",NOT(ISNUMBER(J691)),E691*D691+F691=0),"",J691/(E691*D691+F691))</f>
        <v/>
      </c>
    </row>
    <row r="692">
      <c r="A692" s="8" t="n"/>
      <c r="B692" s="6" t="n"/>
      <c r="C692" s="6" t="n"/>
      <c r="D692" s="6" t="n"/>
      <c r="E692" s="7" t="n"/>
      <c r="F692" s="7" t="n"/>
      <c r="G692" s="7" t="n"/>
      <c r="H692" s="3">
        <f>IFERROR(VLOOKUP(B692,Inventory!$A:$B,2,FALSE)*D692,0)</f>
        <v/>
      </c>
      <c r="I692" s="3">
        <f>IF(C692="",0,IFERROR(VLOOKUP(C692,Settings!$A$2:$F$5,2,FALSE)+(E692*D692+F692)*VLOOKUP(C692,Settings!$A$2:$F$5,3,FALSE)/100+(E692*D692+F692)*VLOOKUP(C692,Settings!$A$2:$F$5,4,FALSE)/100+VLOOKUP(C692,Settings!$A$2:$F$5,5,FALSE)+VLOOKUP(C692,Settings!$A$2:$F$5,6,FALSE),0))</f>
        <v/>
      </c>
      <c r="J692" s="3">
        <f>IF(B692="","",IF(ISNA(MATCH(B692,Inventory!$A$2:$A$201,0)),"Check product",E692*D692+F692-I692-G692-H692))</f>
        <v/>
      </c>
      <c r="K692" s="4">
        <f>IF(OR(B692="",NOT(ISNUMBER(J692)),E692*D692+F692=0),"",J692/(E692*D692+F692))</f>
        <v/>
      </c>
    </row>
    <row r="693">
      <c r="A693" s="8" t="n"/>
      <c r="B693" s="6" t="n"/>
      <c r="C693" s="6" t="n"/>
      <c r="D693" s="6" t="n"/>
      <c r="E693" s="7" t="n"/>
      <c r="F693" s="7" t="n"/>
      <c r="G693" s="7" t="n"/>
      <c r="H693" s="3">
        <f>IFERROR(VLOOKUP(B693,Inventory!$A:$B,2,FALSE)*D693,0)</f>
        <v/>
      </c>
      <c r="I693" s="3">
        <f>IF(C693="",0,IFERROR(VLOOKUP(C693,Settings!$A$2:$F$5,2,FALSE)+(E693*D693+F693)*VLOOKUP(C693,Settings!$A$2:$F$5,3,FALSE)/100+(E693*D693+F693)*VLOOKUP(C693,Settings!$A$2:$F$5,4,FALSE)/100+VLOOKUP(C693,Settings!$A$2:$F$5,5,FALSE)+VLOOKUP(C693,Settings!$A$2:$F$5,6,FALSE),0))</f>
        <v/>
      </c>
      <c r="J693" s="3">
        <f>IF(B693="","",IF(ISNA(MATCH(B693,Inventory!$A$2:$A$201,0)),"Check product",E693*D693+F693-I693-G693-H693))</f>
        <v/>
      </c>
      <c r="K693" s="4">
        <f>IF(OR(B693="",NOT(ISNUMBER(J693)),E693*D693+F693=0),"",J693/(E693*D693+F693))</f>
        <v/>
      </c>
    </row>
    <row r="694">
      <c r="A694" s="8" t="n"/>
      <c r="B694" s="6" t="n"/>
      <c r="C694" s="6" t="n"/>
      <c r="D694" s="6" t="n"/>
      <c r="E694" s="7" t="n"/>
      <c r="F694" s="7" t="n"/>
      <c r="G694" s="7" t="n"/>
      <c r="H694" s="3">
        <f>IFERROR(VLOOKUP(B694,Inventory!$A:$B,2,FALSE)*D694,0)</f>
        <v/>
      </c>
      <c r="I694" s="3">
        <f>IF(C694="",0,IFERROR(VLOOKUP(C694,Settings!$A$2:$F$5,2,FALSE)+(E694*D694+F694)*VLOOKUP(C694,Settings!$A$2:$F$5,3,FALSE)/100+(E694*D694+F694)*VLOOKUP(C694,Settings!$A$2:$F$5,4,FALSE)/100+VLOOKUP(C694,Settings!$A$2:$F$5,5,FALSE)+VLOOKUP(C694,Settings!$A$2:$F$5,6,FALSE),0))</f>
        <v/>
      </c>
      <c r="J694" s="3">
        <f>IF(B694="","",IF(ISNA(MATCH(B694,Inventory!$A$2:$A$201,0)),"Check product",E694*D694+F694-I694-G694-H694))</f>
        <v/>
      </c>
      <c r="K694" s="4">
        <f>IF(OR(B694="",NOT(ISNUMBER(J694)),E694*D694+F694=0),"",J694/(E694*D694+F694))</f>
        <v/>
      </c>
    </row>
    <row r="695">
      <c r="A695" s="8" t="n"/>
      <c r="B695" s="6" t="n"/>
      <c r="C695" s="6" t="n"/>
      <c r="D695" s="6" t="n"/>
      <c r="E695" s="7" t="n"/>
      <c r="F695" s="7" t="n"/>
      <c r="G695" s="7" t="n"/>
      <c r="H695" s="3">
        <f>IFERROR(VLOOKUP(B695,Inventory!$A:$B,2,FALSE)*D695,0)</f>
        <v/>
      </c>
      <c r="I695" s="3">
        <f>IF(C695="",0,IFERROR(VLOOKUP(C695,Settings!$A$2:$F$5,2,FALSE)+(E695*D695+F695)*VLOOKUP(C695,Settings!$A$2:$F$5,3,FALSE)/100+(E695*D695+F695)*VLOOKUP(C695,Settings!$A$2:$F$5,4,FALSE)/100+VLOOKUP(C695,Settings!$A$2:$F$5,5,FALSE)+VLOOKUP(C695,Settings!$A$2:$F$5,6,FALSE),0))</f>
        <v/>
      </c>
      <c r="J695" s="3">
        <f>IF(B695="","",IF(ISNA(MATCH(B695,Inventory!$A$2:$A$201,0)),"Check product",E695*D695+F695-I695-G695-H695))</f>
        <v/>
      </c>
      <c r="K695" s="4">
        <f>IF(OR(B695="",NOT(ISNUMBER(J695)),E695*D695+F695=0),"",J695/(E695*D695+F695))</f>
        <v/>
      </c>
    </row>
    <row r="696">
      <c r="A696" s="8" t="n"/>
      <c r="B696" s="6" t="n"/>
      <c r="C696" s="6" t="n"/>
      <c r="D696" s="6" t="n"/>
      <c r="E696" s="7" t="n"/>
      <c r="F696" s="7" t="n"/>
      <c r="G696" s="7" t="n"/>
      <c r="H696" s="3">
        <f>IFERROR(VLOOKUP(B696,Inventory!$A:$B,2,FALSE)*D696,0)</f>
        <v/>
      </c>
      <c r="I696" s="3">
        <f>IF(C696="",0,IFERROR(VLOOKUP(C696,Settings!$A$2:$F$5,2,FALSE)+(E696*D696+F696)*VLOOKUP(C696,Settings!$A$2:$F$5,3,FALSE)/100+(E696*D696+F696)*VLOOKUP(C696,Settings!$A$2:$F$5,4,FALSE)/100+VLOOKUP(C696,Settings!$A$2:$F$5,5,FALSE)+VLOOKUP(C696,Settings!$A$2:$F$5,6,FALSE),0))</f>
        <v/>
      </c>
      <c r="J696" s="3">
        <f>IF(B696="","",IF(ISNA(MATCH(B696,Inventory!$A$2:$A$201,0)),"Check product",E696*D696+F696-I696-G696-H696))</f>
        <v/>
      </c>
      <c r="K696" s="4">
        <f>IF(OR(B696="",NOT(ISNUMBER(J696)),E696*D696+F696=0),"",J696/(E696*D696+F696))</f>
        <v/>
      </c>
    </row>
    <row r="697">
      <c r="A697" s="8" t="n"/>
      <c r="B697" s="6" t="n"/>
      <c r="C697" s="6" t="n"/>
      <c r="D697" s="6" t="n"/>
      <c r="E697" s="7" t="n"/>
      <c r="F697" s="7" t="n"/>
      <c r="G697" s="7" t="n"/>
      <c r="H697" s="3">
        <f>IFERROR(VLOOKUP(B697,Inventory!$A:$B,2,FALSE)*D697,0)</f>
        <v/>
      </c>
      <c r="I697" s="3">
        <f>IF(C697="",0,IFERROR(VLOOKUP(C697,Settings!$A$2:$F$5,2,FALSE)+(E697*D697+F697)*VLOOKUP(C697,Settings!$A$2:$F$5,3,FALSE)/100+(E697*D697+F697)*VLOOKUP(C697,Settings!$A$2:$F$5,4,FALSE)/100+VLOOKUP(C697,Settings!$A$2:$F$5,5,FALSE)+VLOOKUP(C697,Settings!$A$2:$F$5,6,FALSE),0))</f>
        <v/>
      </c>
      <c r="J697" s="3">
        <f>IF(B697="","",IF(ISNA(MATCH(B697,Inventory!$A$2:$A$201,0)),"Check product",E697*D697+F697-I697-G697-H697))</f>
        <v/>
      </c>
      <c r="K697" s="4">
        <f>IF(OR(B697="",NOT(ISNUMBER(J697)),E697*D697+F697=0),"",J697/(E697*D697+F697))</f>
        <v/>
      </c>
    </row>
    <row r="698">
      <c r="A698" s="8" t="n"/>
      <c r="B698" s="6" t="n"/>
      <c r="C698" s="6" t="n"/>
      <c r="D698" s="6" t="n"/>
      <c r="E698" s="7" t="n"/>
      <c r="F698" s="7" t="n"/>
      <c r="G698" s="7" t="n"/>
      <c r="H698" s="3">
        <f>IFERROR(VLOOKUP(B698,Inventory!$A:$B,2,FALSE)*D698,0)</f>
        <v/>
      </c>
      <c r="I698" s="3">
        <f>IF(C698="",0,IFERROR(VLOOKUP(C698,Settings!$A$2:$F$5,2,FALSE)+(E698*D698+F698)*VLOOKUP(C698,Settings!$A$2:$F$5,3,FALSE)/100+(E698*D698+F698)*VLOOKUP(C698,Settings!$A$2:$F$5,4,FALSE)/100+VLOOKUP(C698,Settings!$A$2:$F$5,5,FALSE)+VLOOKUP(C698,Settings!$A$2:$F$5,6,FALSE),0))</f>
        <v/>
      </c>
      <c r="J698" s="3">
        <f>IF(B698="","",IF(ISNA(MATCH(B698,Inventory!$A$2:$A$201,0)),"Check product",E698*D698+F698-I698-G698-H698))</f>
        <v/>
      </c>
      <c r="K698" s="4">
        <f>IF(OR(B698="",NOT(ISNUMBER(J698)),E698*D698+F698=0),"",J698/(E698*D698+F698))</f>
        <v/>
      </c>
    </row>
    <row r="699">
      <c r="A699" s="8" t="n"/>
      <c r="B699" s="6" t="n"/>
      <c r="C699" s="6" t="n"/>
      <c r="D699" s="6" t="n"/>
      <c r="E699" s="7" t="n"/>
      <c r="F699" s="7" t="n"/>
      <c r="G699" s="7" t="n"/>
      <c r="H699" s="3">
        <f>IFERROR(VLOOKUP(B699,Inventory!$A:$B,2,FALSE)*D699,0)</f>
        <v/>
      </c>
      <c r="I699" s="3">
        <f>IF(C699="",0,IFERROR(VLOOKUP(C699,Settings!$A$2:$F$5,2,FALSE)+(E699*D699+F699)*VLOOKUP(C699,Settings!$A$2:$F$5,3,FALSE)/100+(E699*D699+F699)*VLOOKUP(C699,Settings!$A$2:$F$5,4,FALSE)/100+VLOOKUP(C699,Settings!$A$2:$F$5,5,FALSE)+VLOOKUP(C699,Settings!$A$2:$F$5,6,FALSE),0))</f>
        <v/>
      </c>
      <c r="J699" s="3">
        <f>IF(B699="","",IF(ISNA(MATCH(B699,Inventory!$A$2:$A$201,0)),"Check product",E699*D699+F699-I699-G699-H699))</f>
        <v/>
      </c>
      <c r="K699" s="4">
        <f>IF(OR(B699="",NOT(ISNUMBER(J699)),E699*D699+F699=0),"",J699/(E699*D699+F699))</f>
        <v/>
      </c>
    </row>
    <row r="700">
      <c r="A700" s="8" t="n"/>
      <c r="B700" s="6" t="n"/>
      <c r="C700" s="6" t="n"/>
      <c r="D700" s="6" t="n"/>
      <c r="E700" s="7" t="n"/>
      <c r="F700" s="7" t="n"/>
      <c r="G700" s="7" t="n"/>
      <c r="H700" s="3">
        <f>IFERROR(VLOOKUP(B700,Inventory!$A:$B,2,FALSE)*D700,0)</f>
        <v/>
      </c>
      <c r="I700" s="3">
        <f>IF(C700="",0,IFERROR(VLOOKUP(C700,Settings!$A$2:$F$5,2,FALSE)+(E700*D700+F700)*VLOOKUP(C700,Settings!$A$2:$F$5,3,FALSE)/100+(E700*D700+F700)*VLOOKUP(C700,Settings!$A$2:$F$5,4,FALSE)/100+VLOOKUP(C700,Settings!$A$2:$F$5,5,FALSE)+VLOOKUP(C700,Settings!$A$2:$F$5,6,FALSE),0))</f>
        <v/>
      </c>
      <c r="J700" s="3">
        <f>IF(B700="","",IF(ISNA(MATCH(B700,Inventory!$A$2:$A$201,0)),"Check product",E700*D700+F700-I700-G700-H700))</f>
        <v/>
      </c>
      <c r="K700" s="4">
        <f>IF(OR(B700="",NOT(ISNUMBER(J700)),E700*D700+F700=0),"",J700/(E700*D700+F700))</f>
        <v/>
      </c>
    </row>
    <row r="701">
      <c r="A701" s="8" t="n"/>
      <c r="B701" s="6" t="n"/>
      <c r="C701" s="6" t="n"/>
      <c r="D701" s="6" t="n"/>
      <c r="E701" s="7" t="n"/>
      <c r="F701" s="7" t="n"/>
      <c r="G701" s="7" t="n"/>
      <c r="H701" s="3">
        <f>IFERROR(VLOOKUP(B701,Inventory!$A:$B,2,FALSE)*D701,0)</f>
        <v/>
      </c>
      <c r="I701" s="3">
        <f>IF(C701="",0,IFERROR(VLOOKUP(C701,Settings!$A$2:$F$5,2,FALSE)+(E701*D701+F701)*VLOOKUP(C701,Settings!$A$2:$F$5,3,FALSE)/100+(E701*D701+F701)*VLOOKUP(C701,Settings!$A$2:$F$5,4,FALSE)/100+VLOOKUP(C701,Settings!$A$2:$F$5,5,FALSE)+VLOOKUP(C701,Settings!$A$2:$F$5,6,FALSE),0))</f>
        <v/>
      </c>
      <c r="J701" s="3">
        <f>IF(B701="","",IF(ISNA(MATCH(B701,Inventory!$A$2:$A$201,0)),"Check product",E701*D701+F701-I701-G701-H701))</f>
        <v/>
      </c>
      <c r="K701" s="4">
        <f>IF(OR(B701="",NOT(ISNUMBER(J701)),E701*D701+F701=0),"",J701/(E701*D701+F701))</f>
        <v/>
      </c>
    </row>
    <row r="702">
      <c r="A702" s="8" t="n"/>
      <c r="B702" s="6" t="n"/>
      <c r="C702" s="6" t="n"/>
      <c r="D702" s="6" t="n"/>
      <c r="E702" s="7" t="n"/>
      <c r="F702" s="7" t="n"/>
      <c r="G702" s="7" t="n"/>
      <c r="H702" s="3">
        <f>IFERROR(VLOOKUP(B702,Inventory!$A:$B,2,FALSE)*D702,0)</f>
        <v/>
      </c>
      <c r="I702" s="3">
        <f>IF(C702="",0,IFERROR(VLOOKUP(C702,Settings!$A$2:$F$5,2,FALSE)+(E702*D702+F702)*VLOOKUP(C702,Settings!$A$2:$F$5,3,FALSE)/100+(E702*D702+F702)*VLOOKUP(C702,Settings!$A$2:$F$5,4,FALSE)/100+VLOOKUP(C702,Settings!$A$2:$F$5,5,FALSE)+VLOOKUP(C702,Settings!$A$2:$F$5,6,FALSE),0))</f>
        <v/>
      </c>
      <c r="J702" s="3">
        <f>IF(B702="","",IF(ISNA(MATCH(B702,Inventory!$A$2:$A$201,0)),"Check product",E702*D702+F702-I702-G702-H702))</f>
        <v/>
      </c>
      <c r="K702" s="4">
        <f>IF(OR(B702="",NOT(ISNUMBER(J702)),E702*D702+F702=0),"",J702/(E702*D702+F702))</f>
        <v/>
      </c>
    </row>
    <row r="703">
      <c r="A703" s="8" t="n"/>
      <c r="B703" s="6" t="n"/>
      <c r="C703" s="6" t="n"/>
      <c r="D703" s="6" t="n"/>
      <c r="E703" s="7" t="n"/>
      <c r="F703" s="7" t="n"/>
      <c r="G703" s="7" t="n"/>
      <c r="H703" s="3">
        <f>IFERROR(VLOOKUP(B703,Inventory!$A:$B,2,FALSE)*D703,0)</f>
        <v/>
      </c>
      <c r="I703" s="3">
        <f>IF(C703="",0,IFERROR(VLOOKUP(C703,Settings!$A$2:$F$5,2,FALSE)+(E703*D703+F703)*VLOOKUP(C703,Settings!$A$2:$F$5,3,FALSE)/100+(E703*D703+F703)*VLOOKUP(C703,Settings!$A$2:$F$5,4,FALSE)/100+VLOOKUP(C703,Settings!$A$2:$F$5,5,FALSE)+VLOOKUP(C703,Settings!$A$2:$F$5,6,FALSE),0))</f>
        <v/>
      </c>
      <c r="J703" s="3">
        <f>IF(B703="","",IF(ISNA(MATCH(B703,Inventory!$A$2:$A$201,0)),"Check product",E703*D703+F703-I703-G703-H703))</f>
        <v/>
      </c>
      <c r="K703" s="4">
        <f>IF(OR(B703="",NOT(ISNUMBER(J703)),E703*D703+F703=0),"",J703/(E703*D703+F703))</f>
        <v/>
      </c>
    </row>
    <row r="704">
      <c r="A704" s="8" t="n"/>
      <c r="B704" s="6" t="n"/>
      <c r="C704" s="6" t="n"/>
      <c r="D704" s="6" t="n"/>
      <c r="E704" s="7" t="n"/>
      <c r="F704" s="7" t="n"/>
      <c r="G704" s="7" t="n"/>
      <c r="H704" s="3">
        <f>IFERROR(VLOOKUP(B704,Inventory!$A:$B,2,FALSE)*D704,0)</f>
        <v/>
      </c>
      <c r="I704" s="3">
        <f>IF(C704="",0,IFERROR(VLOOKUP(C704,Settings!$A$2:$F$5,2,FALSE)+(E704*D704+F704)*VLOOKUP(C704,Settings!$A$2:$F$5,3,FALSE)/100+(E704*D704+F704)*VLOOKUP(C704,Settings!$A$2:$F$5,4,FALSE)/100+VLOOKUP(C704,Settings!$A$2:$F$5,5,FALSE)+VLOOKUP(C704,Settings!$A$2:$F$5,6,FALSE),0))</f>
        <v/>
      </c>
      <c r="J704" s="3">
        <f>IF(B704="","",IF(ISNA(MATCH(B704,Inventory!$A$2:$A$201,0)),"Check product",E704*D704+F704-I704-G704-H704))</f>
        <v/>
      </c>
      <c r="K704" s="4">
        <f>IF(OR(B704="",NOT(ISNUMBER(J704)),E704*D704+F704=0),"",J704/(E704*D704+F704))</f>
        <v/>
      </c>
    </row>
    <row r="705">
      <c r="A705" s="8" t="n"/>
      <c r="B705" s="6" t="n"/>
      <c r="C705" s="6" t="n"/>
      <c r="D705" s="6" t="n"/>
      <c r="E705" s="7" t="n"/>
      <c r="F705" s="7" t="n"/>
      <c r="G705" s="7" t="n"/>
      <c r="H705" s="3">
        <f>IFERROR(VLOOKUP(B705,Inventory!$A:$B,2,FALSE)*D705,0)</f>
        <v/>
      </c>
      <c r="I705" s="3">
        <f>IF(C705="",0,IFERROR(VLOOKUP(C705,Settings!$A$2:$F$5,2,FALSE)+(E705*D705+F705)*VLOOKUP(C705,Settings!$A$2:$F$5,3,FALSE)/100+(E705*D705+F705)*VLOOKUP(C705,Settings!$A$2:$F$5,4,FALSE)/100+VLOOKUP(C705,Settings!$A$2:$F$5,5,FALSE)+VLOOKUP(C705,Settings!$A$2:$F$5,6,FALSE),0))</f>
        <v/>
      </c>
      <c r="J705" s="3">
        <f>IF(B705="","",IF(ISNA(MATCH(B705,Inventory!$A$2:$A$201,0)),"Check product",E705*D705+F705-I705-G705-H705))</f>
        <v/>
      </c>
      <c r="K705" s="4">
        <f>IF(OR(B705="",NOT(ISNUMBER(J705)),E705*D705+F705=0),"",J705/(E705*D705+F705))</f>
        <v/>
      </c>
    </row>
    <row r="706">
      <c r="A706" s="8" t="n"/>
      <c r="B706" s="6" t="n"/>
      <c r="C706" s="6" t="n"/>
      <c r="D706" s="6" t="n"/>
      <c r="E706" s="7" t="n"/>
      <c r="F706" s="7" t="n"/>
      <c r="G706" s="7" t="n"/>
      <c r="H706" s="3">
        <f>IFERROR(VLOOKUP(B706,Inventory!$A:$B,2,FALSE)*D706,0)</f>
        <v/>
      </c>
      <c r="I706" s="3">
        <f>IF(C706="",0,IFERROR(VLOOKUP(C706,Settings!$A$2:$F$5,2,FALSE)+(E706*D706+F706)*VLOOKUP(C706,Settings!$A$2:$F$5,3,FALSE)/100+(E706*D706+F706)*VLOOKUP(C706,Settings!$A$2:$F$5,4,FALSE)/100+VLOOKUP(C706,Settings!$A$2:$F$5,5,FALSE)+VLOOKUP(C706,Settings!$A$2:$F$5,6,FALSE),0))</f>
        <v/>
      </c>
      <c r="J706" s="3">
        <f>IF(B706="","",IF(ISNA(MATCH(B706,Inventory!$A$2:$A$201,0)),"Check product",E706*D706+F706-I706-G706-H706))</f>
        <v/>
      </c>
      <c r="K706" s="4">
        <f>IF(OR(B706="",NOT(ISNUMBER(J706)),E706*D706+F706=0),"",J706/(E706*D706+F706))</f>
        <v/>
      </c>
    </row>
    <row r="707">
      <c r="A707" s="8" t="n"/>
      <c r="B707" s="6" t="n"/>
      <c r="C707" s="6" t="n"/>
      <c r="D707" s="6" t="n"/>
      <c r="E707" s="7" t="n"/>
      <c r="F707" s="7" t="n"/>
      <c r="G707" s="7" t="n"/>
      <c r="H707" s="3">
        <f>IFERROR(VLOOKUP(B707,Inventory!$A:$B,2,FALSE)*D707,0)</f>
        <v/>
      </c>
      <c r="I707" s="3">
        <f>IF(C707="",0,IFERROR(VLOOKUP(C707,Settings!$A$2:$F$5,2,FALSE)+(E707*D707+F707)*VLOOKUP(C707,Settings!$A$2:$F$5,3,FALSE)/100+(E707*D707+F707)*VLOOKUP(C707,Settings!$A$2:$F$5,4,FALSE)/100+VLOOKUP(C707,Settings!$A$2:$F$5,5,FALSE)+VLOOKUP(C707,Settings!$A$2:$F$5,6,FALSE),0))</f>
        <v/>
      </c>
      <c r="J707" s="3">
        <f>IF(B707="","",IF(ISNA(MATCH(B707,Inventory!$A$2:$A$201,0)),"Check product",E707*D707+F707-I707-G707-H707))</f>
        <v/>
      </c>
      <c r="K707" s="4">
        <f>IF(OR(B707="",NOT(ISNUMBER(J707)),E707*D707+F707=0),"",J707/(E707*D707+F707))</f>
        <v/>
      </c>
    </row>
    <row r="708">
      <c r="A708" s="8" t="n"/>
      <c r="B708" s="6" t="n"/>
      <c r="C708" s="6" t="n"/>
      <c r="D708" s="6" t="n"/>
      <c r="E708" s="7" t="n"/>
      <c r="F708" s="7" t="n"/>
      <c r="G708" s="7" t="n"/>
      <c r="H708" s="3">
        <f>IFERROR(VLOOKUP(B708,Inventory!$A:$B,2,FALSE)*D708,0)</f>
        <v/>
      </c>
      <c r="I708" s="3">
        <f>IF(C708="",0,IFERROR(VLOOKUP(C708,Settings!$A$2:$F$5,2,FALSE)+(E708*D708+F708)*VLOOKUP(C708,Settings!$A$2:$F$5,3,FALSE)/100+(E708*D708+F708)*VLOOKUP(C708,Settings!$A$2:$F$5,4,FALSE)/100+VLOOKUP(C708,Settings!$A$2:$F$5,5,FALSE)+VLOOKUP(C708,Settings!$A$2:$F$5,6,FALSE),0))</f>
        <v/>
      </c>
      <c r="J708" s="3">
        <f>IF(B708="","",IF(ISNA(MATCH(B708,Inventory!$A$2:$A$201,0)),"Check product",E708*D708+F708-I708-G708-H708))</f>
        <v/>
      </c>
      <c r="K708" s="4">
        <f>IF(OR(B708="",NOT(ISNUMBER(J708)),E708*D708+F708=0),"",J708/(E708*D708+F708))</f>
        <v/>
      </c>
    </row>
    <row r="709">
      <c r="A709" s="8" t="n"/>
      <c r="B709" s="6" t="n"/>
      <c r="C709" s="6" t="n"/>
      <c r="D709" s="6" t="n"/>
      <c r="E709" s="7" t="n"/>
      <c r="F709" s="7" t="n"/>
      <c r="G709" s="7" t="n"/>
      <c r="H709" s="3">
        <f>IFERROR(VLOOKUP(B709,Inventory!$A:$B,2,FALSE)*D709,0)</f>
        <v/>
      </c>
      <c r="I709" s="3">
        <f>IF(C709="",0,IFERROR(VLOOKUP(C709,Settings!$A$2:$F$5,2,FALSE)+(E709*D709+F709)*VLOOKUP(C709,Settings!$A$2:$F$5,3,FALSE)/100+(E709*D709+F709)*VLOOKUP(C709,Settings!$A$2:$F$5,4,FALSE)/100+VLOOKUP(C709,Settings!$A$2:$F$5,5,FALSE)+VLOOKUP(C709,Settings!$A$2:$F$5,6,FALSE),0))</f>
        <v/>
      </c>
      <c r="J709" s="3">
        <f>IF(B709="","",IF(ISNA(MATCH(B709,Inventory!$A$2:$A$201,0)),"Check product",E709*D709+F709-I709-G709-H709))</f>
        <v/>
      </c>
      <c r="K709" s="4">
        <f>IF(OR(B709="",NOT(ISNUMBER(J709)),E709*D709+F709=0),"",J709/(E709*D709+F709))</f>
        <v/>
      </c>
    </row>
    <row r="710">
      <c r="A710" s="8" t="n"/>
      <c r="B710" s="6" t="n"/>
      <c r="C710" s="6" t="n"/>
      <c r="D710" s="6" t="n"/>
      <c r="E710" s="7" t="n"/>
      <c r="F710" s="7" t="n"/>
      <c r="G710" s="7" t="n"/>
      <c r="H710" s="3">
        <f>IFERROR(VLOOKUP(B710,Inventory!$A:$B,2,FALSE)*D710,0)</f>
        <v/>
      </c>
      <c r="I710" s="3">
        <f>IF(C710="",0,IFERROR(VLOOKUP(C710,Settings!$A$2:$F$5,2,FALSE)+(E710*D710+F710)*VLOOKUP(C710,Settings!$A$2:$F$5,3,FALSE)/100+(E710*D710+F710)*VLOOKUP(C710,Settings!$A$2:$F$5,4,FALSE)/100+VLOOKUP(C710,Settings!$A$2:$F$5,5,FALSE)+VLOOKUP(C710,Settings!$A$2:$F$5,6,FALSE),0))</f>
        <v/>
      </c>
      <c r="J710" s="3">
        <f>IF(B710="","",IF(ISNA(MATCH(B710,Inventory!$A$2:$A$201,0)),"Check product",E710*D710+F710-I710-G710-H710))</f>
        <v/>
      </c>
      <c r="K710" s="4">
        <f>IF(OR(B710="",NOT(ISNUMBER(J710)),E710*D710+F710=0),"",J710/(E710*D710+F710))</f>
        <v/>
      </c>
    </row>
    <row r="711">
      <c r="A711" s="8" t="n"/>
      <c r="B711" s="6" t="n"/>
      <c r="C711" s="6" t="n"/>
      <c r="D711" s="6" t="n"/>
      <c r="E711" s="7" t="n"/>
      <c r="F711" s="7" t="n"/>
      <c r="G711" s="7" t="n"/>
      <c r="H711" s="3">
        <f>IFERROR(VLOOKUP(B711,Inventory!$A:$B,2,FALSE)*D711,0)</f>
        <v/>
      </c>
      <c r="I711" s="3">
        <f>IF(C711="",0,IFERROR(VLOOKUP(C711,Settings!$A$2:$F$5,2,FALSE)+(E711*D711+F711)*VLOOKUP(C711,Settings!$A$2:$F$5,3,FALSE)/100+(E711*D711+F711)*VLOOKUP(C711,Settings!$A$2:$F$5,4,FALSE)/100+VLOOKUP(C711,Settings!$A$2:$F$5,5,FALSE)+VLOOKUP(C711,Settings!$A$2:$F$5,6,FALSE),0))</f>
        <v/>
      </c>
      <c r="J711" s="3">
        <f>IF(B711="","",IF(ISNA(MATCH(B711,Inventory!$A$2:$A$201,0)),"Check product",E711*D711+F711-I711-G711-H711))</f>
        <v/>
      </c>
      <c r="K711" s="4">
        <f>IF(OR(B711="",NOT(ISNUMBER(J711)),E711*D711+F711=0),"",J711/(E711*D711+F711))</f>
        <v/>
      </c>
    </row>
    <row r="712">
      <c r="A712" s="8" t="n"/>
      <c r="B712" s="6" t="n"/>
      <c r="C712" s="6" t="n"/>
      <c r="D712" s="6" t="n"/>
      <c r="E712" s="7" t="n"/>
      <c r="F712" s="7" t="n"/>
      <c r="G712" s="7" t="n"/>
      <c r="H712" s="3">
        <f>IFERROR(VLOOKUP(B712,Inventory!$A:$B,2,FALSE)*D712,0)</f>
        <v/>
      </c>
      <c r="I712" s="3">
        <f>IF(C712="",0,IFERROR(VLOOKUP(C712,Settings!$A$2:$F$5,2,FALSE)+(E712*D712+F712)*VLOOKUP(C712,Settings!$A$2:$F$5,3,FALSE)/100+(E712*D712+F712)*VLOOKUP(C712,Settings!$A$2:$F$5,4,FALSE)/100+VLOOKUP(C712,Settings!$A$2:$F$5,5,FALSE)+VLOOKUP(C712,Settings!$A$2:$F$5,6,FALSE),0))</f>
        <v/>
      </c>
      <c r="J712" s="3">
        <f>IF(B712="","",IF(ISNA(MATCH(B712,Inventory!$A$2:$A$201,0)),"Check product",E712*D712+F712-I712-G712-H712))</f>
        <v/>
      </c>
      <c r="K712" s="4">
        <f>IF(OR(B712="",NOT(ISNUMBER(J712)),E712*D712+F712=0),"",J712/(E712*D712+F712))</f>
        <v/>
      </c>
    </row>
    <row r="713">
      <c r="A713" s="8" t="n"/>
      <c r="B713" s="6" t="n"/>
      <c r="C713" s="6" t="n"/>
      <c r="D713" s="6" t="n"/>
      <c r="E713" s="7" t="n"/>
      <c r="F713" s="7" t="n"/>
      <c r="G713" s="7" t="n"/>
      <c r="H713" s="3">
        <f>IFERROR(VLOOKUP(B713,Inventory!$A:$B,2,FALSE)*D713,0)</f>
        <v/>
      </c>
      <c r="I713" s="3">
        <f>IF(C713="",0,IFERROR(VLOOKUP(C713,Settings!$A$2:$F$5,2,FALSE)+(E713*D713+F713)*VLOOKUP(C713,Settings!$A$2:$F$5,3,FALSE)/100+(E713*D713+F713)*VLOOKUP(C713,Settings!$A$2:$F$5,4,FALSE)/100+VLOOKUP(C713,Settings!$A$2:$F$5,5,FALSE)+VLOOKUP(C713,Settings!$A$2:$F$5,6,FALSE),0))</f>
        <v/>
      </c>
      <c r="J713" s="3">
        <f>IF(B713="","",IF(ISNA(MATCH(B713,Inventory!$A$2:$A$201,0)),"Check product",E713*D713+F713-I713-G713-H713))</f>
        <v/>
      </c>
      <c r="K713" s="4">
        <f>IF(OR(B713="",NOT(ISNUMBER(J713)),E713*D713+F713=0),"",J713/(E713*D713+F713))</f>
        <v/>
      </c>
    </row>
    <row r="714">
      <c r="A714" s="8" t="n"/>
      <c r="B714" s="6" t="n"/>
      <c r="C714" s="6" t="n"/>
      <c r="D714" s="6" t="n"/>
      <c r="E714" s="7" t="n"/>
      <c r="F714" s="7" t="n"/>
      <c r="G714" s="7" t="n"/>
      <c r="H714" s="3">
        <f>IFERROR(VLOOKUP(B714,Inventory!$A:$B,2,FALSE)*D714,0)</f>
        <v/>
      </c>
      <c r="I714" s="3">
        <f>IF(C714="",0,IFERROR(VLOOKUP(C714,Settings!$A$2:$F$5,2,FALSE)+(E714*D714+F714)*VLOOKUP(C714,Settings!$A$2:$F$5,3,FALSE)/100+(E714*D714+F714)*VLOOKUP(C714,Settings!$A$2:$F$5,4,FALSE)/100+VLOOKUP(C714,Settings!$A$2:$F$5,5,FALSE)+VLOOKUP(C714,Settings!$A$2:$F$5,6,FALSE),0))</f>
        <v/>
      </c>
      <c r="J714" s="3">
        <f>IF(B714="","",IF(ISNA(MATCH(B714,Inventory!$A$2:$A$201,0)),"Check product",E714*D714+F714-I714-G714-H714))</f>
        <v/>
      </c>
      <c r="K714" s="4">
        <f>IF(OR(B714="",NOT(ISNUMBER(J714)),E714*D714+F714=0),"",J714/(E714*D714+F714))</f>
        <v/>
      </c>
    </row>
    <row r="715">
      <c r="A715" s="8" t="n"/>
      <c r="B715" s="6" t="n"/>
      <c r="C715" s="6" t="n"/>
      <c r="D715" s="6" t="n"/>
      <c r="E715" s="7" t="n"/>
      <c r="F715" s="7" t="n"/>
      <c r="G715" s="7" t="n"/>
      <c r="H715" s="3">
        <f>IFERROR(VLOOKUP(B715,Inventory!$A:$B,2,FALSE)*D715,0)</f>
        <v/>
      </c>
      <c r="I715" s="3">
        <f>IF(C715="",0,IFERROR(VLOOKUP(C715,Settings!$A$2:$F$5,2,FALSE)+(E715*D715+F715)*VLOOKUP(C715,Settings!$A$2:$F$5,3,FALSE)/100+(E715*D715+F715)*VLOOKUP(C715,Settings!$A$2:$F$5,4,FALSE)/100+VLOOKUP(C715,Settings!$A$2:$F$5,5,FALSE)+VLOOKUP(C715,Settings!$A$2:$F$5,6,FALSE),0))</f>
        <v/>
      </c>
      <c r="J715" s="3">
        <f>IF(B715="","",IF(ISNA(MATCH(B715,Inventory!$A$2:$A$201,0)),"Check product",E715*D715+F715-I715-G715-H715))</f>
        <v/>
      </c>
      <c r="K715" s="4">
        <f>IF(OR(B715="",NOT(ISNUMBER(J715)),E715*D715+F715=0),"",J715/(E715*D715+F715))</f>
        <v/>
      </c>
    </row>
    <row r="716">
      <c r="A716" s="8" t="n"/>
      <c r="B716" s="6" t="n"/>
      <c r="C716" s="6" t="n"/>
      <c r="D716" s="6" t="n"/>
      <c r="E716" s="7" t="n"/>
      <c r="F716" s="7" t="n"/>
      <c r="G716" s="7" t="n"/>
      <c r="H716" s="3">
        <f>IFERROR(VLOOKUP(B716,Inventory!$A:$B,2,FALSE)*D716,0)</f>
        <v/>
      </c>
      <c r="I716" s="3">
        <f>IF(C716="",0,IFERROR(VLOOKUP(C716,Settings!$A$2:$F$5,2,FALSE)+(E716*D716+F716)*VLOOKUP(C716,Settings!$A$2:$F$5,3,FALSE)/100+(E716*D716+F716)*VLOOKUP(C716,Settings!$A$2:$F$5,4,FALSE)/100+VLOOKUP(C716,Settings!$A$2:$F$5,5,FALSE)+VLOOKUP(C716,Settings!$A$2:$F$5,6,FALSE),0))</f>
        <v/>
      </c>
      <c r="J716" s="3">
        <f>IF(B716="","",IF(ISNA(MATCH(B716,Inventory!$A$2:$A$201,0)),"Check product",E716*D716+F716-I716-G716-H716))</f>
        <v/>
      </c>
      <c r="K716" s="4">
        <f>IF(OR(B716="",NOT(ISNUMBER(J716)),E716*D716+F716=0),"",J716/(E716*D716+F716))</f>
        <v/>
      </c>
    </row>
    <row r="717">
      <c r="A717" s="8" t="n"/>
      <c r="B717" s="6" t="n"/>
      <c r="C717" s="6" t="n"/>
      <c r="D717" s="6" t="n"/>
      <c r="E717" s="7" t="n"/>
      <c r="F717" s="7" t="n"/>
      <c r="G717" s="7" t="n"/>
      <c r="H717" s="3">
        <f>IFERROR(VLOOKUP(B717,Inventory!$A:$B,2,FALSE)*D717,0)</f>
        <v/>
      </c>
      <c r="I717" s="3">
        <f>IF(C717="",0,IFERROR(VLOOKUP(C717,Settings!$A$2:$F$5,2,FALSE)+(E717*D717+F717)*VLOOKUP(C717,Settings!$A$2:$F$5,3,FALSE)/100+(E717*D717+F717)*VLOOKUP(C717,Settings!$A$2:$F$5,4,FALSE)/100+VLOOKUP(C717,Settings!$A$2:$F$5,5,FALSE)+VLOOKUP(C717,Settings!$A$2:$F$5,6,FALSE),0))</f>
        <v/>
      </c>
      <c r="J717" s="3">
        <f>IF(B717="","",IF(ISNA(MATCH(B717,Inventory!$A$2:$A$201,0)),"Check product",E717*D717+F717-I717-G717-H717))</f>
        <v/>
      </c>
      <c r="K717" s="4">
        <f>IF(OR(B717="",NOT(ISNUMBER(J717)),E717*D717+F717=0),"",J717/(E717*D717+F717))</f>
        <v/>
      </c>
    </row>
    <row r="718">
      <c r="A718" s="8" t="n"/>
      <c r="B718" s="6" t="n"/>
      <c r="C718" s="6" t="n"/>
      <c r="D718" s="6" t="n"/>
      <c r="E718" s="7" t="n"/>
      <c r="F718" s="7" t="n"/>
      <c r="G718" s="7" t="n"/>
      <c r="H718" s="3">
        <f>IFERROR(VLOOKUP(B718,Inventory!$A:$B,2,FALSE)*D718,0)</f>
        <v/>
      </c>
      <c r="I718" s="3">
        <f>IF(C718="",0,IFERROR(VLOOKUP(C718,Settings!$A$2:$F$5,2,FALSE)+(E718*D718+F718)*VLOOKUP(C718,Settings!$A$2:$F$5,3,FALSE)/100+(E718*D718+F718)*VLOOKUP(C718,Settings!$A$2:$F$5,4,FALSE)/100+VLOOKUP(C718,Settings!$A$2:$F$5,5,FALSE)+VLOOKUP(C718,Settings!$A$2:$F$5,6,FALSE),0))</f>
        <v/>
      </c>
      <c r="J718" s="3">
        <f>IF(B718="","",IF(ISNA(MATCH(B718,Inventory!$A$2:$A$201,0)),"Check product",E718*D718+F718-I718-G718-H718))</f>
        <v/>
      </c>
      <c r="K718" s="4">
        <f>IF(OR(B718="",NOT(ISNUMBER(J718)),E718*D718+F718=0),"",J718/(E718*D718+F718))</f>
        <v/>
      </c>
    </row>
    <row r="719">
      <c r="A719" s="8" t="n"/>
      <c r="B719" s="6" t="n"/>
      <c r="C719" s="6" t="n"/>
      <c r="D719" s="6" t="n"/>
      <c r="E719" s="7" t="n"/>
      <c r="F719" s="7" t="n"/>
      <c r="G719" s="7" t="n"/>
      <c r="H719" s="3">
        <f>IFERROR(VLOOKUP(B719,Inventory!$A:$B,2,FALSE)*D719,0)</f>
        <v/>
      </c>
      <c r="I719" s="3">
        <f>IF(C719="",0,IFERROR(VLOOKUP(C719,Settings!$A$2:$F$5,2,FALSE)+(E719*D719+F719)*VLOOKUP(C719,Settings!$A$2:$F$5,3,FALSE)/100+(E719*D719+F719)*VLOOKUP(C719,Settings!$A$2:$F$5,4,FALSE)/100+VLOOKUP(C719,Settings!$A$2:$F$5,5,FALSE)+VLOOKUP(C719,Settings!$A$2:$F$5,6,FALSE),0))</f>
        <v/>
      </c>
      <c r="J719" s="3">
        <f>IF(B719="","",IF(ISNA(MATCH(B719,Inventory!$A$2:$A$201,0)),"Check product",E719*D719+F719-I719-G719-H719))</f>
        <v/>
      </c>
      <c r="K719" s="4">
        <f>IF(OR(B719="",NOT(ISNUMBER(J719)),E719*D719+F719=0),"",J719/(E719*D719+F719))</f>
        <v/>
      </c>
    </row>
    <row r="720">
      <c r="A720" s="8" t="n"/>
      <c r="B720" s="6" t="n"/>
      <c r="C720" s="6" t="n"/>
      <c r="D720" s="6" t="n"/>
      <c r="E720" s="7" t="n"/>
      <c r="F720" s="7" t="n"/>
      <c r="G720" s="7" t="n"/>
      <c r="H720" s="3">
        <f>IFERROR(VLOOKUP(B720,Inventory!$A:$B,2,FALSE)*D720,0)</f>
        <v/>
      </c>
      <c r="I720" s="3">
        <f>IF(C720="",0,IFERROR(VLOOKUP(C720,Settings!$A$2:$F$5,2,FALSE)+(E720*D720+F720)*VLOOKUP(C720,Settings!$A$2:$F$5,3,FALSE)/100+(E720*D720+F720)*VLOOKUP(C720,Settings!$A$2:$F$5,4,FALSE)/100+VLOOKUP(C720,Settings!$A$2:$F$5,5,FALSE)+VLOOKUP(C720,Settings!$A$2:$F$5,6,FALSE),0))</f>
        <v/>
      </c>
      <c r="J720" s="3">
        <f>IF(B720="","",IF(ISNA(MATCH(B720,Inventory!$A$2:$A$201,0)),"Check product",E720*D720+F720-I720-G720-H720))</f>
        <v/>
      </c>
      <c r="K720" s="4">
        <f>IF(OR(B720="",NOT(ISNUMBER(J720)),E720*D720+F720=0),"",J720/(E720*D720+F720))</f>
        <v/>
      </c>
    </row>
    <row r="721">
      <c r="A721" s="8" t="n"/>
      <c r="B721" s="6" t="n"/>
      <c r="C721" s="6" t="n"/>
      <c r="D721" s="6" t="n"/>
      <c r="E721" s="7" t="n"/>
      <c r="F721" s="7" t="n"/>
      <c r="G721" s="7" t="n"/>
      <c r="H721" s="3">
        <f>IFERROR(VLOOKUP(B721,Inventory!$A:$B,2,FALSE)*D721,0)</f>
        <v/>
      </c>
      <c r="I721" s="3">
        <f>IF(C721="",0,IFERROR(VLOOKUP(C721,Settings!$A$2:$F$5,2,FALSE)+(E721*D721+F721)*VLOOKUP(C721,Settings!$A$2:$F$5,3,FALSE)/100+(E721*D721+F721)*VLOOKUP(C721,Settings!$A$2:$F$5,4,FALSE)/100+VLOOKUP(C721,Settings!$A$2:$F$5,5,FALSE)+VLOOKUP(C721,Settings!$A$2:$F$5,6,FALSE),0))</f>
        <v/>
      </c>
      <c r="J721" s="3">
        <f>IF(B721="","",IF(ISNA(MATCH(B721,Inventory!$A$2:$A$201,0)),"Check product",E721*D721+F721-I721-G721-H721))</f>
        <v/>
      </c>
      <c r="K721" s="4">
        <f>IF(OR(B721="",NOT(ISNUMBER(J721)),E721*D721+F721=0),"",J721/(E721*D721+F721))</f>
        <v/>
      </c>
    </row>
    <row r="722">
      <c r="A722" s="8" t="n"/>
      <c r="B722" s="6" t="n"/>
      <c r="C722" s="6" t="n"/>
      <c r="D722" s="6" t="n"/>
      <c r="E722" s="7" t="n"/>
      <c r="F722" s="7" t="n"/>
      <c r="G722" s="7" t="n"/>
      <c r="H722" s="3">
        <f>IFERROR(VLOOKUP(B722,Inventory!$A:$B,2,FALSE)*D722,0)</f>
        <v/>
      </c>
      <c r="I722" s="3">
        <f>IF(C722="",0,IFERROR(VLOOKUP(C722,Settings!$A$2:$F$5,2,FALSE)+(E722*D722+F722)*VLOOKUP(C722,Settings!$A$2:$F$5,3,FALSE)/100+(E722*D722+F722)*VLOOKUP(C722,Settings!$A$2:$F$5,4,FALSE)/100+VLOOKUP(C722,Settings!$A$2:$F$5,5,FALSE)+VLOOKUP(C722,Settings!$A$2:$F$5,6,FALSE),0))</f>
        <v/>
      </c>
      <c r="J722" s="3">
        <f>IF(B722="","",IF(ISNA(MATCH(B722,Inventory!$A$2:$A$201,0)),"Check product",E722*D722+F722-I722-G722-H722))</f>
        <v/>
      </c>
      <c r="K722" s="4">
        <f>IF(OR(B722="",NOT(ISNUMBER(J722)),E722*D722+F722=0),"",J722/(E722*D722+F722))</f>
        <v/>
      </c>
    </row>
    <row r="723">
      <c r="A723" s="8" t="n"/>
      <c r="B723" s="6" t="n"/>
      <c r="C723" s="6" t="n"/>
      <c r="D723" s="6" t="n"/>
      <c r="E723" s="7" t="n"/>
      <c r="F723" s="7" t="n"/>
      <c r="G723" s="7" t="n"/>
      <c r="H723" s="3">
        <f>IFERROR(VLOOKUP(B723,Inventory!$A:$B,2,FALSE)*D723,0)</f>
        <v/>
      </c>
      <c r="I723" s="3">
        <f>IF(C723="",0,IFERROR(VLOOKUP(C723,Settings!$A$2:$F$5,2,FALSE)+(E723*D723+F723)*VLOOKUP(C723,Settings!$A$2:$F$5,3,FALSE)/100+(E723*D723+F723)*VLOOKUP(C723,Settings!$A$2:$F$5,4,FALSE)/100+VLOOKUP(C723,Settings!$A$2:$F$5,5,FALSE)+VLOOKUP(C723,Settings!$A$2:$F$5,6,FALSE),0))</f>
        <v/>
      </c>
      <c r="J723" s="3">
        <f>IF(B723="","",IF(ISNA(MATCH(B723,Inventory!$A$2:$A$201,0)),"Check product",E723*D723+F723-I723-G723-H723))</f>
        <v/>
      </c>
      <c r="K723" s="4">
        <f>IF(OR(B723="",NOT(ISNUMBER(J723)),E723*D723+F723=0),"",J723/(E723*D723+F723))</f>
        <v/>
      </c>
    </row>
    <row r="724">
      <c r="A724" s="8" t="n"/>
      <c r="B724" s="6" t="n"/>
      <c r="C724" s="6" t="n"/>
      <c r="D724" s="6" t="n"/>
      <c r="E724" s="7" t="n"/>
      <c r="F724" s="7" t="n"/>
      <c r="G724" s="7" t="n"/>
      <c r="H724" s="3">
        <f>IFERROR(VLOOKUP(B724,Inventory!$A:$B,2,FALSE)*D724,0)</f>
        <v/>
      </c>
      <c r="I724" s="3">
        <f>IF(C724="",0,IFERROR(VLOOKUP(C724,Settings!$A$2:$F$5,2,FALSE)+(E724*D724+F724)*VLOOKUP(C724,Settings!$A$2:$F$5,3,FALSE)/100+(E724*D724+F724)*VLOOKUP(C724,Settings!$A$2:$F$5,4,FALSE)/100+VLOOKUP(C724,Settings!$A$2:$F$5,5,FALSE)+VLOOKUP(C724,Settings!$A$2:$F$5,6,FALSE),0))</f>
        <v/>
      </c>
      <c r="J724" s="3">
        <f>IF(B724="","",IF(ISNA(MATCH(B724,Inventory!$A$2:$A$201,0)),"Check product",E724*D724+F724-I724-G724-H724))</f>
        <v/>
      </c>
      <c r="K724" s="4">
        <f>IF(OR(B724="",NOT(ISNUMBER(J724)),E724*D724+F724=0),"",J724/(E724*D724+F724))</f>
        <v/>
      </c>
    </row>
    <row r="725">
      <c r="A725" s="8" t="n"/>
      <c r="B725" s="6" t="n"/>
      <c r="C725" s="6" t="n"/>
      <c r="D725" s="6" t="n"/>
      <c r="E725" s="7" t="n"/>
      <c r="F725" s="7" t="n"/>
      <c r="G725" s="7" t="n"/>
      <c r="H725" s="3">
        <f>IFERROR(VLOOKUP(B725,Inventory!$A:$B,2,FALSE)*D725,0)</f>
        <v/>
      </c>
      <c r="I725" s="3">
        <f>IF(C725="",0,IFERROR(VLOOKUP(C725,Settings!$A$2:$F$5,2,FALSE)+(E725*D725+F725)*VLOOKUP(C725,Settings!$A$2:$F$5,3,FALSE)/100+(E725*D725+F725)*VLOOKUP(C725,Settings!$A$2:$F$5,4,FALSE)/100+VLOOKUP(C725,Settings!$A$2:$F$5,5,FALSE)+VLOOKUP(C725,Settings!$A$2:$F$5,6,FALSE),0))</f>
        <v/>
      </c>
      <c r="J725" s="3">
        <f>IF(B725="","",IF(ISNA(MATCH(B725,Inventory!$A$2:$A$201,0)),"Check product",E725*D725+F725-I725-G725-H725))</f>
        <v/>
      </c>
      <c r="K725" s="4">
        <f>IF(OR(B725="",NOT(ISNUMBER(J725)),E725*D725+F725=0),"",J725/(E725*D725+F725))</f>
        <v/>
      </c>
    </row>
    <row r="726">
      <c r="A726" s="8" t="n"/>
      <c r="B726" s="6" t="n"/>
      <c r="C726" s="6" t="n"/>
      <c r="D726" s="6" t="n"/>
      <c r="E726" s="7" t="n"/>
      <c r="F726" s="7" t="n"/>
      <c r="G726" s="7" t="n"/>
      <c r="H726" s="3">
        <f>IFERROR(VLOOKUP(B726,Inventory!$A:$B,2,FALSE)*D726,0)</f>
        <v/>
      </c>
      <c r="I726" s="3">
        <f>IF(C726="",0,IFERROR(VLOOKUP(C726,Settings!$A$2:$F$5,2,FALSE)+(E726*D726+F726)*VLOOKUP(C726,Settings!$A$2:$F$5,3,FALSE)/100+(E726*D726+F726)*VLOOKUP(C726,Settings!$A$2:$F$5,4,FALSE)/100+VLOOKUP(C726,Settings!$A$2:$F$5,5,FALSE)+VLOOKUP(C726,Settings!$A$2:$F$5,6,FALSE),0))</f>
        <v/>
      </c>
      <c r="J726" s="3">
        <f>IF(B726="","",IF(ISNA(MATCH(B726,Inventory!$A$2:$A$201,0)),"Check product",E726*D726+F726-I726-G726-H726))</f>
        <v/>
      </c>
      <c r="K726" s="4">
        <f>IF(OR(B726="",NOT(ISNUMBER(J726)),E726*D726+F726=0),"",J726/(E726*D726+F726))</f>
        <v/>
      </c>
    </row>
    <row r="727">
      <c r="A727" s="8" t="n"/>
      <c r="B727" s="6" t="n"/>
      <c r="C727" s="6" t="n"/>
      <c r="D727" s="6" t="n"/>
      <c r="E727" s="7" t="n"/>
      <c r="F727" s="7" t="n"/>
      <c r="G727" s="7" t="n"/>
      <c r="H727" s="3">
        <f>IFERROR(VLOOKUP(B727,Inventory!$A:$B,2,FALSE)*D727,0)</f>
        <v/>
      </c>
      <c r="I727" s="3">
        <f>IF(C727="",0,IFERROR(VLOOKUP(C727,Settings!$A$2:$F$5,2,FALSE)+(E727*D727+F727)*VLOOKUP(C727,Settings!$A$2:$F$5,3,FALSE)/100+(E727*D727+F727)*VLOOKUP(C727,Settings!$A$2:$F$5,4,FALSE)/100+VLOOKUP(C727,Settings!$A$2:$F$5,5,FALSE)+VLOOKUP(C727,Settings!$A$2:$F$5,6,FALSE),0))</f>
        <v/>
      </c>
      <c r="J727" s="3">
        <f>IF(B727="","",IF(ISNA(MATCH(B727,Inventory!$A$2:$A$201,0)),"Check product",E727*D727+F727-I727-G727-H727))</f>
        <v/>
      </c>
      <c r="K727" s="4">
        <f>IF(OR(B727="",NOT(ISNUMBER(J727)),E727*D727+F727=0),"",J727/(E727*D727+F727))</f>
        <v/>
      </c>
    </row>
    <row r="728">
      <c r="A728" s="8" t="n"/>
      <c r="B728" s="6" t="n"/>
      <c r="C728" s="6" t="n"/>
      <c r="D728" s="6" t="n"/>
      <c r="E728" s="7" t="n"/>
      <c r="F728" s="7" t="n"/>
      <c r="G728" s="7" t="n"/>
      <c r="H728" s="3">
        <f>IFERROR(VLOOKUP(B728,Inventory!$A:$B,2,FALSE)*D728,0)</f>
        <v/>
      </c>
      <c r="I728" s="3">
        <f>IF(C728="",0,IFERROR(VLOOKUP(C728,Settings!$A$2:$F$5,2,FALSE)+(E728*D728+F728)*VLOOKUP(C728,Settings!$A$2:$F$5,3,FALSE)/100+(E728*D728+F728)*VLOOKUP(C728,Settings!$A$2:$F$5,4,FALSE)/100+VLOOKUP(C728,Settings!$A$2:$F$5,5,FALSE)+VLOOKUP(C728,Settings!$A$2:$F$5,6,FALSE),0))</f>
        <v/>
      </c>
      <c r="J728" s="3">
        <f>IF(B728="","",IF(ISNA(MATCH(B728,Inventory!$A$2:$A$201,0)),"Check product",E728*D728+F728-I728-G728-H728))</f>
        <v/>
      </c>
      <c r="K728" s="4">
        <f>IF(OR(B728="",NOT(ISNUMBER(J728)),E728*D728+F728=0),"",J728/(E728*D728+F728))</f>
        <v/>
      </c>
    </row>
    <row r="729">
      <c r="A729" s="8" t="n"/>
      <c r="B729" s="6" t="n"/>
      <c r="C729" s="6" t="n"/>
      <c r="D729" s="6" t="n"/>
      <c r="E729" s="7" t="n"/>
      <c r="F729" s="7" t="n"/>
      <c r="G729" s="7" t="n"/>
      <c r="H729" s="3">
        <f>IFERROR(VLOOKUP(B729,Inventory!$A:$B,2,FALSE)*D729,0)</f>
        <v/>
      </c>
      <c r="I729" s="3">
        <f>IF(C729="",0,IFERROR(VLOOKUP(C729,Settings!$A$2:$F$5,2,FALSE)+(E729*D729+F729)*VLOOKUP(C729,Settings!$A$2:$F$5,3,FALSE)/100+(E729*D729+F729)*VLOOKUP(C729,Settings!$A$2:$F$5,4,FALSE)/100+VLOOKUP(C729,Settings!$A$2:$F$5,5,FALSE)+VLOOKUP(C729,Settings!$A$2:$F$5,6,FALSE),0))</f>
        <v/>
      </c>
      <c r="J729" s="3">
        <f>IF(B729="","",IF(ISNA(MATCH(B729,Inventory!$A$2:$A$201,0)),"Check product",E729*D729+F729-I729-G729-H729))</f>
        <v/>
      </c>
      <c r="K729" s="4">
        <f>IF(OR(B729="",NOT(ISNUMBER(J729)),E729*D729+F729=0),"",J729/(E729*D729+F729))</f>
        <v/>
      </c>
    </row>
    <row r="730">
      <c r="A730" s="8" t="n"/>
      <c r="B730" s="6" t="n"/>
      <c r="C730" s="6" t="n"/>
      <c r="D730" s="6" t="n"/>
      <c r="E730" s="7" t="n"/>
      <c r="F730" s="7" t="n"/>
      <c r="G730" s="7" t="n"/>
      <c r="H730" s="3">
        <f>IFERROR(VLOOKUP(B730,Inventory!$A:$B,2,FALSE)*D730,0)</f>
        <v/>
      </c>
      <c r="I730" s="3">
        <f>IF(C730="",0,IFERROR(VLOOKUP(C730,Settings!$A$2:$F$5,2,FALSE)+(E730*D730+F730)*VLOOKUP(C730,Settings!$A$2:$F$5,3,FALSE)/100+(E730*D730+F730)*VLOOKUP(C730,Settings!$A$2:$F$5,4,FALSE)/100+VLOOKUP(C730,Settings!$A$2:$F$5,5,FALSE)+VLOOKUP(C730,Settings!$A$2:$F$5,6,FALSE),0))</f>
        <v/>
      </c>
      <c r="J730" s="3">
        <f>IF(B730="","",IF(ISNA(MATCH(B730,Inventory!$A$2:$A$201,0)),"Check product",E730*D730+F730-I730-G730-H730))</f>
        <v/>
      </c>
      <c r="K730" s="4">
        <f>IF(OR(B730="",NOT(ISNUMBER(J730)),E730*D730+F730=0),"",J730/(E730*D730+F730))</f>
        <v/>
      </c>
    </row>
    <row r="731">
      <c r="A731" s="8" t="n"/>
      <c r="B731" s="6" t="n"/>
      <c r="C731" s="6" t="n"/>
      <c r="D731" s="6" t="n"/>
      <c r="E731" s="7" t="n"/>
      <c r="F731" s="7" t="n"/>
      <c r="G731" s="7" t="n"/>
      <c r="H731" s="3">
        <f>IFERROR(VLOOKUP(B731,Inventory!$A:$B,2,FALSE)*D731,0)</f>
        <v/>
      </c>
      <c r="I731" s="3">
        <f>IF(C731="",0,IFERROR(VLOOKUP(C731,Settings!$A$2:$F$5,2,FALSE)+(E731*D731+F731)*VLOOKUP(C731,Settings!$A$2:$F$5,3,FALSE)/100+(E731*D731+F731)*VLOOKUP(C731,Settings!$A$2:$F$5,4,FALSE)/100+VLOOKUP(C731,Settings!$A$2:$F$5,5,FALSE)+VLOOKUP(C731,Settings!$A$2:$F$5,6,FALSE),0))</f>
        <v/>
      </c>
      <c r="J731" s="3">
        <f>IF(B731="","",IF(ISNA(MATCH(B731,Inventory!$A$2:$A$201,0)),"Check product",E731*D731+F731-I731-G731-H731))</f>
        <v/>
      </c>
      <c r="K731" s="4">
        <f>IF(OR(B731="",NOT(ISNUMBER(J731)),E731*D731+F731=0),"",J731/(E731*D731+F731))</f>
        <v/>
      </c>
    </row>
    <row r="732">
      <c r="A732" s="8" t="n"/>
      <c r="B732" s="6" t="n"/>
      <c r="C732" s="6" t="n"/>
      <c r="D732" s="6" t="n"/>
      <c r="E732" s="7" t="n"/>
      <c r="F732" s="7" t="n"/>
      <c r="G732" s="7" t="n"/>
      <c r="H732" s="3">
        <f>IFERROR(VLOOKUP(B732,Inventory!$A:$B,2,FALSE)*D732,0)</f>
        <v/>
      </c>
      <c r="I732" s="3">
        <f>IF(C732="",0,IFERROR(VLOOKUP(C732,Settings!$A$2:$F$5,2,FALSE)+(E732*D732+F732)*VLOOKUP(C732,Settings!$A$2:$F$5,3,FALSE)/100+(E732*D732+F732)*VLOOKUP(C732,Settings!$A$2:$F$5,4,FALSE)/100+VLOOKUP(C732,Settings!$A$2:$F$5,5,FALSE)+VLOOKUP(C732,Settings!$A$2:$F$5,6,FALSE),0))</f>
        <v/>
      </c>
      <c r="J732" s="3">
        <f>IF(B732="","",IF(ISNA(MATCH(B732,Inventory!$A$2:$A$201,0)),"Check product",E732*D732+F732-I732-G732-H732))</f>
        <v/>
      </c>
      <c r="K732" s="4">
        <f>IF(OR(B732="",NOT(ISNUMBER(J732)),E732*D732+F732=0),"",J732/(E732*D732+F732))</f>
        <v/>
      </c>
    </row>
    <row r="733">
      <c r="A733" s="8" t="n"/>
      <c r="B733" s="6" t="n"/>
      <c r="C733" s="6" t="n"/>
      <c r="D733" s="6" t="n"/>
      <c r="E733" s="7" t="n"/>
      <c r="F733" s="7" t="n"/>
      <c r="G733" s="7" t="n"/>
      <c r="H733" s="3">
        <f>IFERROR(VLOOKUP(B733,Inventory!$A:$B,2,FALSE)*D733,0)</f>
        <v/>
      </c>
      <c r="I733" s="3">
        <f>IF(C733="",0,IFERROR(VLOOKUP(C733,Settings!$A$2:$F$5,2,FALSE)+(E733*D733+F733)*VLOOKUP(C733,Settings!$A$2:$F$5,3,FALSE)/100+(E733*D733+F733)*VLOOKUP(C733,Settings!$A$2:$F$5,4,FALSE)/100+VLOOKUP(C733,Settings!$A$2:$F$5,5,FALSE)+VLOOKUP(C733,Settings!$A$2:$F$5,6,FALSE),0))</f>
        <v/>
      </c>
      <c r="J733" s="3">
        <f>IF(B733="","",IF(ISNA(MATCH(B733,Inventory!$A$2:$A$201,0)),"Check product",E733*D733+F733-I733-G733-H733))</f>
        <v/>
      </c>
      <c r="K733" s="4">
        <f>IF(OR(B733="",NOT(ISNUMBER(J733)),E733*D733+F733=0),"",J733/(E733*D733+F733))</f>
        <v/>
      </c>
    </row>
    <row r="734">
      <c r="A734" s="8" t="n"/>
      <c r="B734" s="6" t="n"/>
      <c r="C734" s="6" t="n"/>
      <c r="D734" s="6" t="n"/>
      <c r="E734" s="7" t="n"/>
      <c r="F734" s="7" t="n"/>
      <c r="G734" s="7" t="n"/>
      <c r="H734" s="3">
        <f>IFERROR(VLOOKUP(B734,Inventory!$A:$B,2,FALSE)*D734,0)</f>
        <v/>
      </c>
      <c r="I734" s="3">
        <f>IF(C734="",0,IFERROR(VLOOKUP(C734,Settings!$A$2:$F$5,2,FALSE)+(E734*D734+F734)*VLOOKUP(C734,Settings!$A$2:$F$5,3,FALSE)/100+(E734*D734+F734)*VLOOKUP(C734,Settings!$A$2:$F$5,4,FALSE)/100+VLOOKUP(C734,Settings!$A$2:$F$5,5,FALSE)+VLOOKUP(C734,Settings!$A$2:$F$5,6,FALSE),0))</f>
        <v/>
      </c>
      <c r="J734" s="3">
        <f>IF(B734="","",IF(ISNA(MATCH(B734,Inventory!$A$2:$A$201,0)),"Check product",E734*D734+F734-I734-G734-H734))</f>
        <v/>
      </c>
      <c r="K734" s="4">
        <f>IF(OR(B734="",NOT(ISNUMBER(J734)),E734*D734+F734=0),"",J734/(E734*D734+F734))</f>
        <v/>
      </c>
    </row>
    <row r="735">
      <c r="A735" s="8" t="n"/>
      <c r="B735" s="6" t="n"/>
      <c r="C735" s="6" t="n"/>
      <c r="D735" s="6" t="n"/>
      <c r="E735" s="7" t="n"/>
      <c r="F735" s="7" t="n"/>
      <c r="G735" s="7" t="n"/>
      <c r="H735" s="3">
        <f>IFERROR(VLOOKUP(B735,Inventory!$A:$B,2,FALSE)*D735,0)</f>
        <v/>
      </c>
      <c r="I735" s="3">
        <f>IF(C735="",0,IFERROR(VLOOKUP(C735,Settings!$A$2:$F$5,2,FALSE)+(E735*D735+F735)*VLOOKUP(C735,Settings!$A$2:$F$5,3,FALSE)/100+(E735*D735+F735)*VLOOKUP(C735,Settings!$A$2:$F$5,4,FALSE)/100+VLOOKUP(C735,Settings!$A$2:$F$5,5,FALSE)+VLOOKUP(C735,Settings!$A$2:$F$5,6,FALSE),0))</f>
        <v/>
      </c>
      <c r="J735" s="3">
        <f>IF(B735="","",IF(ISNA(MATCH(B735,Inventory!$A$2:$A$201,0)),"Check product",E735*D735+F735-I735-G735-H735))</f>
        <v/>
      </c>
      <c r="K735" s="4">
        <f>IF(OR(B735="",NOT(ISNUMBER(J735)),E735*D735+F735=0),"",J735/(E735*D735+F735))</f>
        <v/>
      </c>
    </row>
    <row r="736">
      <c r="A736" s="8" t="n"/>
      <c r="B736" s="6" t="n"/>
      <c r="C736" s="6" t="n"/>
      <c r="D736" s="6" t="n"/>
      <c r="E736" s="7" t="n"/>
      <c r="F736" s="7" t="n"/>
      <c r="G736" s="7" t="n"/>
      <c r="H736" s="3">
        <f>IFERROR(VLOOKUP(B736,Inventory!$A:$B,2,FALSE)*D736,0)</f>
        <v/>
      </c>
      <c r="I736" s="3">
        <f>IF(C736="",0,IFERROR(VLOOKUP(C736,Settings!$A$2:$F$5,2,FALSE)+(E736*D736+F736)*VLOOKUP(C736,Settings!$A$2:$F$5,3,FALSE)/100+(E736*D736+F736)*VLOOKUP(C736,Settings!$A$2:$F$5,4,FALSE)/100+VLOOKUP(C736,Settings!$A$2:$F$5,5,FALSE)+VLOOKUP(C736,Settings!$A$2:$F$5,6,FALSE),0))</f>
        <v/>
      </c>
      <c r="J736" s="3">
        <f>IF(B736="","",IF(ISNA(MATCH(B736,Inventory!$A$2:$A$201,0)),"Check product",E736*D736+F736-I736-G736-H736))</f>
        <v/>
      </c>
      <c r="K736" s="4">
        <f>IF(OR(B736="",NOT(ISNUMBER(J736)),E736*D736+F736=0),"",J736/(E736*D736+F736))</f>
        <v/>
      </c>
    </row>
    <row r="737">
      <c r="A737" s="8" t="n"/>
      <c r="B737" s="6" t="n"/>
      <c r="C737" s="6" t="n"/>
      <c r="D737" s="6" t="n"/>
      <c r="E737" s="7" t="n"/>
      <c r="F737" s="7" t="n"/>
      <c r="G737" s="7" t="n"/>
      <c r="H737" s="3">
        <f>IFERROR(VLOOKUP(B737,Inventory!$A:$B,2,FALSE)*D737,0)</f>
        <v/>
      </c>
      <c r="I737" s="3">
        <f>IF(C737="",0,IFERROR(VLOOKUP(C737,Settings!$A$2:$F$5,2,FALSE)+(E737*D737+F737)*VLOOKUP(C737,Settings!$A$2:$F$5,3,FALSE)/100+(E737*D737+F737)*VLOOKUP(C737,Settings!$A$2:$F$5,4,FALSE)/100+VLOOKUP(C737,Settings!$A$2:$F$5,5,FALSE)+VLOOKUP(C737,Settings!$A$2:$F$5,6,FALSE),0))</f>
        <v/>
      </c>
      <c r="J737" s="3">
        <f>IF(B737="","",IF(ISNA(MATCH(B737,Inventory!$A$2:$A$201,0)),"Check product",E737*D737+F737-I737-G737-H737))</f>
        <v/>
      </c>
      <c r="K737" s="4">
        <f>IF(OR(B737="",NOT(ISNUMBER(J737)),E737*D737+F737=0),"",J737/(E737*D737+F737))</f>
        <v/>
      </c>
    </row>
    <row r="738">
      <c r="A738" s="8" t="n"/>
      <c r="B738" s="6" t="n"/>
      <c r="C738" s="6" t="n"/>
      <c r="D738" s="6" t="n"/>
      <c r="E738" s="7" t="n"/>
      <c r="F738" s="7" t="n"/>
      <c r="G738" s="7" t="n"/>
      <c r="H738" s="3">
        <f>IFERROR(VLOOKUP(B738,Inventory!$A:$B,2,FALSE)*D738,0)</f>
        <v/>
      </c>
      <c r="I738" s="3">
        <f>IF(C738="",0,IFERROR(VLOOKUP(C738,Settings!$A$2:$F$5,2,FALSE)+(E738*D738+F738)*VLOOKUP(C738,Settings!$A$2:$F$5,3,FALSE)/100+(E738*D738+F738)*VLOOKUP(C738,Settings!$A$2:$F$5,4,FALSE)/100+VLOOKUP(C738,Settings!$A$2:$F$5,5,FALSE)+VLOOKUP(C738,Settings!$A$2:$F$5,6,FALSE),0))</f>
        <v/>
      </c>
      <c r="J738" s="3">
        <f>IF(B738="","",IF(ISNA(MATCH(B738,Inventory!$A$2:$A$201,0)),"Check product",E738*D738+F738-I738-G738-H738))</f>
        <v/>
      </c>
      <c r="K738" s="4">
        <f>IF(OR(B738="",NOT(ISNUMBER(J738)),E738*D738+F738=0),"",J738/(E738*D738+F738))</f>
        <v/>
      </c>
    </row>
    <row r="739">
      <c r="A739" s="8" t="n"/>
      <c r="B739" s="6" t="n"/>
      <c r="C739" s="6" t="n"/>
      <c r="D739" s="6" t="n"/>
      <c r="E739" s="7" t="n"/>
      <c r="F739" s="7" t="n"/>
      <c r="G739" s="7" t="n"/>
      <c r="H739" s="3">
        <f>IFERROR(VLOOKUP(B739,Inventory!$A:$B,2,FALSE)*D739,0)</f>
        <v/>
      </c>
      <c r="I739" s="3">
        <f>IF(C739="",0,IFERROR(VLOOKUP(C739,Settings!$A$2:$F$5,2,FALSE)+(E739*D739+F739)*VLOOKUP(C739,Settings!$A$2:$F$5,3,FALSE)/100+(E739*D739+F739)*VLOOKUP(C739,Settings!$A$2:$F$5,4,FALSE)/100+VLOOKUP(C739,Settings!$A$2:$F$5,5,FALSE)+VLOOKUP(C739,Settings!$A$2:$F$5,6,FALSE),0))</f>
        <v/>
      </c>
      <c r="J739" s="3">
        <f>IF(B739="","",IF(ISNA(MATCH(B739,Inventory!$A$2:$A$201,0)),"Check product",E739*D739+F739-I739-G739-H739))</f>
        <v/>
      </c>
      <c r="K739" s="4">
        <f>IF(OR(B739="",NOT(ISNUMBER(J739)),E739*D739+F739=0),"",J739/(E739*D739+F739))</f>
        <v/>
      </c>
    </row>
    <row r="740">
      <c r="A740" s="8" t="n"/>
      <c r="B740" s="6" t="n"/>
      <c r="C740" s="6" t="n"/>
      <c r="D740" s="6" t="n"/>
      <c r="E740" s="7" t="n"/>
      <c r="F740" s="7" t="n"/>
      <c r="G740" s="7" t="n"/>
      <c r="H740" s="3">
        <f>IFERROR(VLOOKUP(B740,Inventory!$A:$B,2,FALSE)*D740,0)</f>
        <v/>
      </c>
      <c r="I740" s="3">
        <f>IF(C740="",0,IFERROR(VLOOKUP(C740,Settings!$A$2:$F$5,2,FALSE)+(E740*D740+F740)*VLOOKUP(C740,Settings!$A$2:$F$5,3,FALSE)/100+(E740*D740+F740)*VLOOKUP(C740,Settings!$A$2:$F$5,4,FALSE)/100+VLOOKUP(C740,Settings!$A$2:$F$5,5,FALSE)+VLOOKUP(C740,Settings!$A$2:$F$5,6,FALSE),0))</f>
        <v/>
      </c>
      <c r="J740" s="3">
        <f>IF(B740="","",IF(ISNA(MATCH(B740,Inventory!$A$2:$A$201,0)),"Check product",E740*D740+F740-I740-G740-H740))</f>
        <v/>
      </c>
      <c r="K740" s="4">
        <f>IF(OR(B740="",NOT(ISNUMBER(J740)),E740*D740+F740=0),"",J740/(E740*D740+F740))</f>
        <v/>
      </c>
    </row>
    <row r="741">
      <c r="A741" s="8" t="n"/>
      <c r="B741" s="6" t="n"/>
      <c r="C741" s="6" t="n"/>
      <c r="D741" s="6" t="n"/>
      <c r="E741" s="7" t="n"/>
      <c r="F741" s="7" t="n"/>
      <c r="G741" s="7" t="n"/>
      <c r="H741" s="3">
        <f>IFERROR(VLOOKUP(B741,Inventory!$A:$B,2,FALSE)*D741,0)</f>
        <v/>
      </c>
      <c r="I741" s="3">
        <f>IF(C741="",0,IFERROR(VLOOKUP(C741,Settings!$A$2:$F$5,2,FALSE)+(E741*D741+F741)*VLOOKUP(C741,Settings!$A$2:$F$5,3,FALSE)/100+(E741*D741+F741)*VLOOKUP(C741,Settings!$A$2:$F$5,4,FALSE)/100+VLOOKUP(C741,Settings!$A$2:$F$5,5,FALSE)+VLOOKUP(C741,Settings!$A$2:$F$5,6,FALSE),0))</f>
        <v/>
      </c>
      <c r="J741" s="3">
        <f>IF(B741="","",IF(ISNA(MATCH(B741,Inventory!$A$2:$A$201,0)),"Check product",E741*D741+F741-I741-G741-H741))</f>
        <v/>
      </c>
      <c r="K741" s="4">
        <f>IF(OR(B741="",NOT(ISNUMBER(J741)),E741*D741+F741=0),"",J741/(E741*D741+F741))</f>
        <v/>
      </c>
    </row>
    <row r="742">
      <c r="A742" s="8" t="n"/>
      <c r="B742" s="6" t="n"/>
      <c r="C742" s="6" t="n"/>
      <c r="D742" s="6" t="n"/>
      <c r="E742" s="7" t="n"/>
      <c r="F742" s="7" t="n"/>
      <c r="G742" s="7" t="n"/>
      <c r="H742" s="3">
        <f>IFERROR(VLOOKUP(B742,Inventory!$A:$B,2,FALSE)*D742,0)</f>
        <v/>
      </c>
      <c r="I742" s="3">
        <f>IF(C742="",0,IFERROR(VLOOKUP(C742,Settings!$A$2:$F$5,2,FALSE)+(E742*D742+F742)*VLOOKUP(C742,Settings!$A$2:$F$5,3,FALSE)/100+(E742*D742+F742)*VLOOKUP(C742,Settings!$A$2:$F$5,4,FALSE)/100+VLOOKUP(C742,Settings!$A$2:$F$5,5,FALSE)+VLOOKUP(C742,Settings!$A$2:$F$5,6,FALSE),0))</f>
        <v/>
      </c>
      <c r="J742" s="3">
        <f>IF(B742="","",IF(ISNA(MATCH(B742,Inventory!$A$2:$A$201,0)),"Check product",E742*D742+F742-I742-G742-H742))</f>
        <v/>
      </c>
      <c r="K742" s="4">
        <f>IF(OR(B742="",NOT(ISNUMBER(J742)),E742*D742+F742=0),"",J742/(E742*D742+F742))</f>
        <v/>
      </c>
    </row>
    <row r="743">
      <c r="A743" s="8" t="n"/>
      <c r="B743" s="6" t="n"/>
      <c r="C743" s="6" t="n"/>
      <c r="D743" s="6" t="n"/>
      <c r="E743" s="7" t="n"/>
      <c r="F743" s="7" t="n"/>
      <c r="G743" s="7" t="n"/>
      <c r="H743" s="3">
        <f>IFERROR(VLOOKUP(B743,Inventory!$A:$B,2,FALSE)*D743,0)</f>
        <v/>
      </c>
      <c r="I743" s="3">
        <f>IF(C743="",0,IFERROR(VLOOKUP(C743,Settings!$A$2:$F$5,2,FALSE)+(E743*D743+F743)*VLOOKUP(C743,Settings!$A$2:$F$5,3,FALSE)/100+(E743*D743+F743)*VLOOKUP(C743,Settings!$A$2:$F$5,4,FALSE)/100+VLOOKUP(C743,Settings!$A$2:$F$5,5,FALSE)+VLOOKUP(C743,Settings!$A$2:$F$5,6,FALSE),0))</f>
        <v/>
      </c>
      <c r="J743" s="3">
        <f>IF(B743="","",IF(ISNA(MATCH(B743,Inventory!$A$2:$A$201,0)),"Check product",E743*D743+F743-I743-G743-H743))</f>
        <v/>
      </c>
      <c r="K743" s="4">
        <f>IF(OR(B743="",NOT(ISNUMBER(J743)),E743*D743+F743=0),"",J743/(E743*D743+F743))</f>
        <v/>
      </c>
    </row>
    <row r="744">
      <c r="A744" s="8" t="n"/>
      <c r="B744" s="6" t="n"/>
      <c r="C744" s="6" t="n"/>
      <c r="D744" s="6" t="n"/>
      <c r="E744" s="7" t="n"/>
      <c r="F744" s="7" t="n"/>
      <c r="G744" s="7" t="n"/>
      <c r="H744" s="3">
        <f>IFERROR(VLOOKUP(B744,Inventory!$A:$B,2,FALSE)*D744,0)</f>
        <v/>
      </c>
      <c r="I744" s="3">
        <f>IF(C744="",0,IFERROR(VLOOKUP(C744,Settings!$A$2:$F$5,2,FALSE)+(E744*D744+F744)*VLOOKUP(C744,Settings!$A$2:$F$5,3,FALSE)/100+(E744*D744+F744)*VLOOKUP(C744,Settings!$A$2:$F$5,4,FALSE)/100+VLOOKUP(C744,Settings!$A$2:$F$5,5,FALSE)+VLOOKUP(C744,Settings!$A$2:$F$5,6,FALSE),0))</f>
        <v/>
      </c>
      <c r="J744" s="3">
        <f>IF(B744="","",IF(ISNA(MATCH(B744,Inventory!$A$2:$A$201,0)),"Check product",E744*D744+F744-I744-G744-H744))</f>
        <v/>
      </c>
      <c r="K744" s="4">
        <f>IF(OR(B744="",NOT(ISNUMBER(J744)),E744*D744+F744=0),"",J744/(E744*D744+F744))</f>
        <v/>
      </c>
    </row>
    <row r="745">
      <c r="A745" s="8" t="n"/>
      <c r="B745" s="6" t="n"/>
      <c r="C745" s="6" t="n"/>
      <c r="D745" s="6" t="n"/>
      <c r="E745" s="7" t="n"/>
      <c r="F745" s="7" t="n"/>
      <c r="G745" s="7" t="n"/>
      <c r="H745" s="3">
        <f>IFERROR(VLOOKUP(B745,Inventory!$A:$B,2,FALSE)*D745,0)</f>
        <v/>
      </c>
      <c r="I745" s="3">
        <f>IF(C745="",0,IFERROR(VLOOKUP(C745,Settings!$A$2:$F$5,2,FALSE)+(E745*D745+F745)*VLOOKUP(C745,Settings!$A$2:$F$5,3,FALSE)/100+(E745*D745+F745)*VLOOKUP(C745,Settings!$A$2:$F$5,4,FALSE)/100+VLOOKUP(C745,Settings!$A$2:$F$5,5,FALSE)+VLOOKUP(C745,Settings!$A$2:$F$5,6,FALSE),0))</f>
        <v/>
      </c>
      <c r="J745" s="3">
        <f>IF(B745="","",IF(ISNA(MATCH(B745,Inventory!$A$2:$A$201,0)),"Check product",E745*D745+F745-I745-G745-H745))</f>
        <v/>
      </c>
      <c r="K745" s="4">
        <f>IF(OR(B745="",NOT(ISNUMBER(J745)),E745*D745+F745=0),"",J745/(E745*D745+F745))</f>
        <v/>
      </c>
    </row>
    <row r="746">
      <c r="A746" s="8" t="n"/>
      <c r="B746" s="6" t="n"/>
      <c r="C746" s="6" t="n"/>
      <c r="D746" s="6" t="n"/>
      <c r="E746" s="7" t="n"/>
      <c r="F746" s="7" t="n"/>
      <c r="G746" s="7" t="n"/>
      <c r="H746" s="3">
        <f>IFERROR(VLOOKUP(B746,Inventory!$A:$B,2,FALSE)*D746,0)</f>
        <v/>
      </c>
      <c r="I746" s="3">
        <f>IF(C746="",0,IFERROR(VLOOKUP(C746,Settings!$A$2:$F$5,2,FALSE)+(E746*D746+F746)*VLOOKUP(C746,Settings!$A$2:$F$5,3,FALSE)/100+(E746*D746+F746)*VLOOKUP(C746,Settings!$A$2:$F$5,4,FALSE)/100+VLOOKUP(C746,Settings!$A$2:$F$5,5,FALSE)+VLOOKUP(C746,Settings!$A$2:$F$5,6,FALSE),0))</f>
        <v/>
      </c>
      <c r="J746" s="3">
        <f>IF(B746="","",IF(ISNA(MATCH(B746,Inventory!$A$2:$A$201,0)),"Check product",E746*D746+F746-I746-G746-H746))</f>
        <v/>
      </c>
      <c r="K746" s="4">
        <f>IF(OR(B746="",NOT(ISNUMBER(J746)),E746*D746+F746=0),"",J746/(E746*D746+F746))</f>
        <v/>
      </c>
    </row>
    <row r="747">
      <c r="A747" s="8" t="n"/>
      <c r="B747" s="6" t="n"/>
      <c r="C747" s="6" t="n"/>
      <c r="D747" s="6" t="n"/>
      <c r="E747" s="7" t="n"/>
      <c r="F747" s="7" t="n"/>
      <c r="G747" s="7" t="n"/>
      <c r="H747" s="3">
        <f>IFERROR(VLOOKUP(B747,Inventory!$A:$B,2,FALSE)*D747,0)</f>
        <v/>
      </c>
      <c r="I747" s="3">
        <f>IF(C747="",0,IFERROR(VLOOKUP(C747,Settings!$A$2:$F$5,2,FALSE)+(E747*D747+F747)*VLOOKUP(C747,Settings!$A$2:$F$5,3,FALSE)/100+(E747*D747+F747)*VLOOKUP(C747,Settings!$A$2:$F$5,4,FALSE)/100+VLOOKUP(C747,Settings!$A$2:$F$5,5,FALSE)+VLOOKUP(C747,Settings!$A$2:$F$5,6,FALSE),0))</f>
        <v/>
      </c>
      <c r="J747" s="3">
        <f>IF(B747="","",IF(ISNA(MATCH(B747,Inventory!$A$2:$A$201,0)),"Check product",E747*D747+F747-I747-G747-H747))</f>
        <v/>
      </c>
      <c r="K747" s="4">
        <f>IF(OR(B747="",NOT(ISNUMBER(J747)),E747*D747+F747=0),"",J747/(E747*D747+F747))</f>
        <v/>
      </c>
    </row>
    <row r="748">
      <c r="A748" s="8" t="n"/>
      <c r="B748" s="6" t="n"/>
      <c r="C748" s="6" t="n"/>
      <c r="D748" s="6" t="n"/>
      <c r="E748" s="7" t="n"/>
      <c r="F748" s="7" t="n"/>
      <c r="G748" s="7" t="n"/>
      <c r="H748" s="3">
        <f>IFERROR(VLOOKUP(B748,Inventory!$A:$B,2,FALSE)*D748,0)</f>
        <v/>
      </c>
      <c r="I748" s="3">
        <f>IF(C748="",0,IFERROR(VLOOKUP(C748,Settings!$A$2:$F$5,2,FALSE)+(E748*D748+F748)*VLOOKUP(C748,Settings!$A$2:$F$5,3,FALSE)/100+(E748*D748+F748)*VLOOKUP(C748,Settings!$A$2:$F$5,4,FALSE)/100+VLOOKUP(C748,Settings!$A$2:$F$5,5,FALSE)+VLOOKUP(C748,Settings!$A$2:$F$5,6,FALSE),0))</f>
        <v/>
      </c>
      <c r="J748" s="3">
        <f>IF(B748="","",IF(ISNA(MATCH(B748,Inventory!$A$2:$A$201,0)),"Check product",E748*D748+F748-I748-G748-H748))</f>
        <v/>
      </c>
      <c r="K748" s="4">
        <f>IF(OR(B748="",NOT(ISNUMBER(J748)),E748*D748+F748=0),"",J748/(E748*D748+F748))</f>
        <v/>
      </c>
    </row>
    <row r="749">
      <c r="A749" s="8" t="n"/>
      <c r="B749" s="6" t="n"/>
      <c r="C749" s="6" t="n"/>
      <c r="D749" s="6" t="n"/>
      <c r="E749" s="7" t="n"/>
      <c r="F749" s="7" t="n"/>
      <c r="G749" s="7" t="n"/>
      <c r="H749" s="3">
        <f>IFERROR(VLOOKUP(B749,Inventory!$A:$B,2,FALSE)*D749,0)</f>
        <v/>
      </c>
      <c r="I749" s="3">
        <f>IF(C749="",0,IFERROR(VLOOKUP(C749,Settings!$A$2:$F$5,2,FALSE)+(E749*D749+F749)*VLOOKUP(C749,Settings!$A$2:$F$5,3,FALSE)/100+(E749*D749+F749)*VLOOKUP(C749,Settings!$A$2:$F$5,4,FALSE)/100+VLOOKUP(C749,Settings!$A$2:$F$5,5,FALSE)+VLOOKUP(C749,Settings!$A$2:$F$5,6,FALSE),0))</f>
        <v/>
      </c>
      <c r="J749" s="3">
        <f>IF(B749="","",IF(ISNA(MATCH(B749,Inventory!$A$2:$A$201,0)),"Check product",E749*D749+F749-I749-G749-H749))</f>
        <v/>
      </c>
      <c r="K749" s="4">
        <f>IF(OR(B749="",NOT(ISNUMBER(J749)),E749*D749+F749=0),"",J749/(E749*D749+F749))</f>
        <v/>
      </c>
    </row>
    <row r="750">
      <c r="A750" s="8" t="n"/>
      <c r="B750" s="6" t="n"/>
      <c r="C750" s="6" t="n"/>
      <c r="D750" s="6" t="n"/>
      <c r="E750" s="7" t="n"/>
      <c r="F750" s="7" t="n"/>
      <c r="G750" s="7" t="n"/>
      <c r="H750" s="3">
        <f>IFERROR(VLOOKUP(B750,Inventory!$A:$B,2,FALSE)*D750,0)</f>
        <v/>
      </c>
      <c r="I750" s="3">
        <f>IF(C750="",0,IFERROR(VLOOKUP(C750,Settings!$A$2:$F$5,2,FALSE)+(E750*D750+F750)*VLOOKUP(C750,Settings!$A$2:$F$5,3,FALSE)/100+(E750*D750+F750)*VLOOKUP(C750,Settings!$A$2:$F$5,4,FALSE)/100+VLOOKUP(C750,Settings!$A$2:$F$5,5,FALSE)+VLOOKUP(C750,Settings!$A$2:$F$5,6,FALSE),0))</f>
        <v/>
      </c>
      <c r="J750" s="3">
        <f>IF(B750="","",IF(ISNA(MATCH(B750,Inventory!$A$2:$A$201,0)),"Check product",E750*D750+F750-I750-G750-H750))</f>
        <v/>
      </c>
      <c r="K750" s="4">
        <f>IF(OR(B750="",NOT(ISNUMBER(J750)),E750*D750+F750=0),"",J750/(E750*D750+F750))</f>
        <v/>
      </c>
    </row>
    <row r="751">
      <c r="A751" s="8" t="n"/>
      <c r="B751" s="6" t="n"/>
      <c r="C751" s="6" t="n"/>
      <c r="D751" s="6" t="n"/>
      <c r="E751" s="7" t="n"/>
      <c r="F751" s="7" t="n"/>
      <c r="G751" s="7" t="n"/>
      <c r="H751" s="3">
        <f>IFERROR(VLOOKUP(B751,Inventory!$A:$B,2,FALSE)*D751,0)</f>
        <v/>
      </c>
      <c r="I751" s="3">
        <f>IF(C751="",0,IFERROR(VLOOKUP(C751,Settings!$A$2:$F$5,2,FALSE)+(E751*D751+F751)*VLOOKUP(C751,Settings!$A$2:$F$5,3,FALSE)/100+(E751*D751+F751)*VLOOKUP(C751,Settings!$A$2:$F$5,4,FALSE)/100+VLOOKUP(C751,Settings!$A$2:$F$5,5,FALSE)+VLOOKUP(C751,Settings!$A$2:$F$5,6,FALSE),0))</f>
        <v/>
      </c>
      <c r="J751" s="3">
        <f>IF(B751="","",IF(ISNA(MATCH(B751,Inventory!$A$2:$A$201,0)),"Check product",E751*D751+F751-I751-G751-H751))</f>
        <v/>
      </c>
      <c r="K751" s="4">
        <f>IF(OR(B751="",NOT(ISNUMBER(J751)),E751*D751+F751=0),"",J751/(E751*D751+F751))</f>
        <v/>
      </c>
    </row>
    <row r="752">
      <c r="A752" s="8" t="n"/>
      <c r="B752" s="6" t="n"/>
      <c r="C752" s="6" t="n"/>
      <c r="D752" s="6" t="n"/>
      <c r="E752" s="7" t="n"/>
      <c r="F752" s="7" t="n"/>
      <c r="G752" s="7" t="n"/>
      <c r="H752" s="3">
        <f>IFERROR(VLOOKUP(B752,Inventory!$A:$B,2,FALSE)*D752,0)</f>
        <v/>
      </c>
      <c r="I752" s="3">
        <f>IF(C752="",0,IFERROR(VLOOKUP(C752,Settings!$A$2:$F$5,2,FALSE)+(E752*D752+F752)*VLOOKUP(C752,Settings!$A$2:$F$5,3,FALSE)/100+(E752*D752+F752)*VLOOKUP(C752,Settings!$A$2:$F$5,4,FALSE)/100+VLOOKUP(C752,Settings!$A$2:$F$5,5,FALSE)+VLOOKUP(C752,Settings!$A$2:$F$5,6,FALSE),0))</f>
        <v/>
      </c>
      <c r="J752" s="3">
        <f>IF(B752="","",IF(ISNA(MATCH(B752,Inventory!$A$2:$A$201,0)),"Check product",E752*D752+F752-I752-G752-H752))</f>
        <v/>
      </c>
      <c r="K752" s="4">
        <f>IF(OR(B752="",NOT(ISNUMBER(J752)),E752*D752+F752=0),"",J752/(E752*D752+F752))</f>
        <v/>
      </c>
    </row>
    <row r="753">
      <c r="A753" s="8" t="n"/>
      <c r="B753" s="6" t="n"/>
      <c r="C753" s="6" t="n"/>
      <c r="D753" s="6" t="n"/>
      <c r="E753" s="7" t="n"/>
      <c r="F753" s="7" t="n"/>
      <c r="G753" s="7" t="n"/>
      <c r="H753" s="3">
        <f>IFERROR(VLOOKUP(B753,Inventory!$A:$B,2,FALSE)*D753,0)</f>
        <v/>
      </c>
      <c r="I753" s="3">
        <f>IF(C753="",0,IFERROR(VLOOKUP(C753,Settings!$A$2:$F$5,2,FALSE)+(E753*D753+F753)*VLOOKUP(C753,Settings!$A$2:$F$5,3,FALSE)/100+(E753*D753+F753)*VLOOKUP(C753,Settings!$A$2:$F$5,4,FALSE)/100+VLOOKUP(C753,Settings!$A$2:$F$5,5,FALSE)+VLOOKUP(C753,Settings!$A$2:$F$5,6,FALSE),0))</f>
        <v/>
      </c>
      <c r="J753" s="3">
        <f>IF(B753="","",IF(ISNA(MATCH(B753,Inventory!$A$2:$A$201,0)),"Check product",E753*D753+F753-I753-G753-H753))</f>
        <v/>
      </c>
      <c r="K753" s="4">
        <f>IF(OR(B753="",NOT(ISNUMBER(J753)),E753*D753+F753=0),"",J753/(E753*D753+F753))</f>
        <v/>
      </c>
    </row>
    <row r="754">
      <c r="A754" s="8" t="n"/>
      <c r="B754" s="6" t="n"/>
      <c r="C754" s="6" t="n"/>
      <c r="D754" s="6" t="n"/>
      <c r="E754" s="7" t="n"/>
      <c r="F754" s="7" t="n"/>
      <c r="G754" s="7" t="n"/>
      <c r="H754" s="3">
        <f>IFERROR(VLOOKUP(B754,Inventory!$A:$B,2,FALSE)*D754,0)</f>
        <v/>
      </c>
      <c r="I754" s="3">
        <f>IF(C754="",0,IFERROR(VLOOKUP(C754,Settings!$A$2:$F$5,2,FALSE)+(E754*D754+F754)*VLOOKUP(C754,Settings!$A$2:$F$5,3,FALSE)/100+(E754*D754+F754)*VLOOKUP(C754,Settings!$A$2:$F$5,4,FALSE)/100+VLOOKUP(C754,Settings!$A$2:$F$5,5,FALSE)+VLOOKUP(C754,Settings!$A$2:$F$5,6,FALSE),0))</f>
        <v/>
      </c>
      <c r="J754" s="3">
        <f>IF(B754="","",IF(ISNA(MATCH(B754,Inventory!$A$2:$A$201,0)),"Check product",E754*D754+F754-I754-G754-H754))</f>
        <v/>
      </c>
      <c r="K754" s="4">
        <f>IF(OR(B754="",NOT(ISNUMBER(J754)),E754*D754+F754=0),"",J754/(E754*D754+F754))</f>
        <v/>
      </c>
    </row>
    <row r="755">
      <c r="A755" s="8" t="n"/>
      <c r="B755" s="6" t="n"/>
      <c r="C755" s="6" t="n"/>
      <c r="D755" s="6" t="n"/>
      <c r="E755" s="7" t="n"/>
      <c r="F755" s="7" t="n"/>
      <c r="G755" s="7" t="n"/>
      <c r="H755" s="3">
        <f>IFERROR(VLOOKUP(B755,Inventory!$A:$B,2,FALSE)*D755,0)</f>
        <v/>
      </c>
      <c r="I755" s="3">
        <f>IF(C755="",0,IFERROR(VLOOKUP(C755,Settings!$A$2:$F$5,2,FALSE)+(E755*D755+F755)*VLOOKUP(C755,Settings!$A$2:$F$5,3,FALSE)/100+(E755*D755+F755)*VLOOKUP(C755,Settings!$A$2:$F$5,4,FALSE)/100+VLOOKUP(C755,Settings!$A$2:$F$5,5,FALSE)+VLOOKUP(C755,Settings!$A$2:$F$5,6,FALSE),0))</f>
        <v/>
      </c>
      <c r="J755" s="3">
        <f>IF(B755="","",IF(ISNA(MATCH(B755,Inventory!$A$2:$A$201,0)),"Check product",E755*D755+F755-I755-G755-H755))</f>
        <v/>
      </c>
      <c r="K755" s="4">
        <f>IF(OR(B755="",NOT(ISNUMBER(J755)),E755*D755+F755=0),"",J755/(E755*D755+F755))</f>
        <v/>
      </c>
    </row>
    <row r="756">
      <c r="A756" s="8" t="n"/>
      <c r="B756" s="6" t="n"/>
      <c r="C756" s="6" t="n"/>
      <c r="D756" s="6" t="n"/>
      <c r="E756" s="7" t="n"/>
      <c r="F756" s="7" t="n"/>
      <c r="G756" s="7" t="n"/>
      <c r="H756" s="3">
        <f>IFERROR(VLOOKUP(B756,Inventory!$A:$B,2,FALSE)*D756,0)</f>
        <v/>
      </c>
      <c r="I756" s="3">
        <f>IF(C756="",0,IFERROR(VLOOKUP(C756,Settings!$A$2:$F$5,2,FALSE)+(E756*D756+F756)*VLOOKUP(C756,Settings!$A$2:$F$5,3,FALSE)/100+(E756*D756+F756)*VLOOKUP(C756,Settings!$A$2:$F$5,4,FALSE)/100+VLOOKUP(C756,Settings!$A$2:$F$5,5,FALSE)+VLOOKUP(C756,Settings!$A$2:$F$5,6,FALSE),0))</f>
        <v/>
      </c>
      <c r="J756" s="3">
        <f>IF(B756="","",IF(ISNA(MATCH(B756,Inventory!$A$2:$A$201,0)),"Check product",E756*D756+F756-I756-G756-H756))</f>
        <v/>
      </c>
      <c r="K756" s="4">
        <f>IF(OR(B756="",NOT(ISNUMBER(J756)),E756*D756+F756=0),"",J756/(E756*D756+F756))</f>
        <v/>
      </c>
    </row>
    <row r="757">
      <c r="A757" s="8" t="n"/>
      <c r="B757" s="6" t="n"/>
      <c r="C757" s="6" t="n"/>
      <c r="D757" s="6" t="n"/>
      <c r="E757" s="7" t="n"/>
      <c r="F757" s="7" t="n"/>
      <c r="G757" s="7" t="n"/>
      <c r="H757" s="3">
        <f>IFERROR(VLOOKUP(B757,Inventory!$A:$B,2,FALSE)*D757,0)</f>
        <v/>
      </c>
      <c r="I757" s="3">
        <f>IF(C757="",0,IFERROR(VLOOKUP(C757,Settings!$A$2:$F$5,2,FALSE)+(E757*D757+F757)*VLOOKUP(C757,Settings!$A$2:$F$5,3,FALSE)/100+(E757*D757+F757)*VLOOKUP(C757,Settings!$A$2:$F$5,4,FALSE)/100+VLOOKUP(C757,Settings!$A$2:$F$5,5,FALSE)+VLOOKUP(C757,Settings!$A$2:$F$5,6,FALSE),0))</f>
        <v/>
      </c>
      <c r="J757" s="3">
        <f>IF(B757="","",IF(ISNA(MATCH(B757,Inventory!$A$2:$A$201,0)),"Check product",E757*D757+F757-I757-G757-H757))</f>
        <v/>
      </c>
      <c r="K757" s="4">
        <f>IF(OR(B757="",NOT(ISNUMBER(J757)),E757*D757+F757=0),"",J757/(E757*D757+F757))</f>
        <v/>
      </c>
    </row>
    <row r="758">
      <c r="A758" s="8" t="n"/>
      <c r="B758" s="6" t="n"/>
      <c r="C758" s="6" t="n"/>
      <c r="D758" s="6" t="n"/>
      <c r="E758" s="7" t="n"/>
      <c r="F758" s="7" t="n"/>
      <c r="G758" s="7" t="n"/>
      <c r="H758" s="3">
        <f>IFERROR(VLOOKUP(B758,Inventory!$A:$B,2,FALSE)*D758,0)</f>
        <v/>
      </c>
      <c r="I758" s="3">
        <f>IF(C758="",0,IFERROR(VLOOKUP(C758,Settings!$A$2:$F$5,2,FALSE)+(E758*D758+F758)*VLOOKUP(C758,Settings!$A$2:$F$5,3,FALSE)/100+(E758*D758+F758)*VLOOKUP(C758,Settings!$A$2:$F$5,4,FALSE)/100+VLOOKUP(C758,Settings!$A$2:$F$5,5,FALSE)+VLOOKUP(C758,Settings!$A$2:$F$5,6,FALSE),0))</f>
        <v/>
      </c>
      <c r="J758" s="3">
        <f>IF(B758="","",IF(ISNA(MATCH(B758,Inventory!$A$2:$A$201,0)),"Check product",E758*D758+F758-I758-G758-H758))</f>
        <v/>
      </c>
      <c r="K758" s="4">
        <f>IF(OR(B758="",NOT(ISNUMBER(J758)),E758*D758+F758=0),"",J758/(E758*D758+F758))</f>
        <v/>
      </c>
    </row>
    <row r="759">
      <c r="A759" s="8" t="n"/>
      <c r="B759" s="6" t="n"/>
      <c r="C759" s="6" t="n"/>
      <c r="D759" s="6" t="n"/>
      <c r="E759" s="7" t="n"/>
      <c r="F759" s="7" t="n"/>
      <c r="G759" s="7" t="n"/>
      <c r="H759" s="3">
        <f>IFERROR(VLOOKUP(B759,Inventory!$A:$B,2,FALSE)*D759,0)</f>
        <v/>
      </c>
      <c r="I759" s="3">
        <f>IF(C759="",0,IFERROR(VLOOKUP(C759,Settings!$A$2:$F$5,2,FALSE)+(E759*D759+F759)*VLOOKUP(C759,Settings!$A$2:$F$5,3,FALSE)/100+(E759*D759+F759)*VLOOKUP(C759,Settings!$A$2:$F$5,4,FALSE)/100+VLOOKUP(C759,Settings!$A$2:$F$5,5,FALSE)+VLOOKUP(C759,Settings!$A$2:$F$5,6,FALSE),0))</f>
        <v/>
      </c>
      <c r="J759" s="3">
        <f>IF(B759="","",IF(ISNA(MATCH(B759,Inventory!$A$2:$A$201,0)),"Check product",E759*D759+F759-I759-G759-H759))</f>
        <v/>
      </c>
      <c r="K759" s="4">
        <f>IF(OR(B759="",NOT(ISNUMBER(J759)),E759*D759+F759=0),"",J759/(E759*D759+F759))</f>
        <v/>
      </c>
    </row>
    <row r="760">
      <c r="A760" s="8" t="n"/>
      <c r="B760" s="6" t="n"/>
      <c r="C760" s="6" t="n"/>
      <c r="D760" s="6" t="n"/>
      <c r="E760" s="7" t="n"/>
      <c r="F760" s="7" t="n"/>
      <c r="G760" s="7" t="n"/>
      <c r="H760" s="3">
        <f>IFERROR(VLOOKUP(B760,Inventory!$A:$B,2,FALSE)*D760,0)</f>
        <v/>
      </c>
      <c r="I760" s="3">
        <f>IF(C760="",0,IFERROR(VLOOKUP(C760,Settings!$A$2:$F$5,2,FALSE)+(E760*D760+F760)*VLOOKUP(C760,Settings!$A$2:$F$5,3,FALSE)/100+(E760*D760+F760)*VLOOKUP(C760,Settings!$A$2:$F$5,4,FALSE)/100+VLOOKUP(C760,Settings!$A$2:$F$5,5,FALSE)+VLOOKUP(C760,Settings!$A$2:$F$5,6,FALSE),0))</f>
        <v/>
      </c>
      <c r="J760" s="3">
        <f>IF(B760="","",IF(ISNA(MATCH(B760,Inventory!$A$2:$A$201,0)),"Check product",E760*D760+F760-I760-G760-H760))</f>
        <v/>
      </c>
      <c r="K760" s="4">
        <f>IF(OR(B760="",NOT(ISNUMBER(J760)),E760*D760+F760=0),"",J760/(E760*D760+F760))</f>
        <v/>
      </c>
    </row>
    <row r="761">
      <c r="A761" s="8" t="n"/>
      <c r="B761" s="6" t="n"/>
      <c r="C761" s="6" t="n"/>
      <c r="D761" s="6" t="n"/>
      <c r="E761" s="7" t="n"/>
      <c r="F761" s="7" t="n"/>
      <c r="G761" s="7" t="n"/>
      <c r="H761" s="3">
        <f>IFERROR(VLOOKUP(B761,Inventory!$A:$B,2,FALSE)*D761,0)</f>
        <v/>
      </c>
      <c r="I761" s="3">
        <f>IF(C761="",0,IFERROR(VLOOKUP(C761,Settings!$A$2:$F$5,2,FALSE)+(E761*D761+F761)*VLOOKUP(C761,Settings!$A$2:$F$5,3,FALSE)/100+(E761*D761+F761)*VLOOKUP(C761,Settings!$A$2:$F$5,4,FALSE)/100+VLOOKUP(C761,Settings!$A$2:$F$5,5,FALSE)+VLOOKUP(C761,Settings!$A$2:$F$5,6,FALSE),0))</f>
        <v/>
      </c>
      <c r="J761" s="3">
        <f>IF(B761="","",IF(ISNA(MATCH(B761,Inventory!$A$2:$A$201,0)),"Check product",E761*D761+F761-I761-G761-H761))</f>
        <v/>
      </c>
      <c r="K761" s="4">
        <f>IF(OR(B761="",NOT(ISNUMBER(J761)),E761*D761+F761=0),"",J761/(E761*D761+F761))</f>
        <v/>
      </c>
    </row>
    <row r="762">
      <c r="A762" s="8" t="n"/>
      <c r="B762" s="6" t="n"/>
      <c r="C762" s="6" t="n"/>
      <c r="D762" s="6" t="n"/>
      <c r="E762" s="7" t="n"/>
      <c r="F762" s="7" t="n"/>
      <c r="G762" s="7" t="n"/>
      <c r="H762" s="3">
        <f>IFERROR(VLOOKUP(B762,Inventory!$A:$B,2,FALSE)*D762,0)</f>
        <v/>
      </c>
      <c r="I762" s="3">
        <f>IF(C762="",0,IFERROR(VLOOKUP(C762,Settings!$A$2:$F$5,2,FALSE)+(E762*D762+F762)*VLOOKUP(C762,Settings!$A$2:$F$5,3,FALSE)/100+(E762*D762+F762)*VLOOKUP(C762,Settings!$A$2:$F$5,4,FALSE)/100+VLOOKUP(C762,Settings!$A$2:$F$5,5,FALSE)+VLOOKUP(C762,Settings!$A$2:$F$5,6,FALSE),0))</f>
        <v/>
      </c>
      <c r="J762" s="3">
        <f>IF(B762="","",IF(ISNA(MATCH(B762,Inventory!$A$2:$A$201,0)),"Check product",E762*D762+F762-I762-G762-H762))</f>
        <v/>
      </c>
      <c r="K762" s="4">
        <f>IF(OR(B762="",NOT(ISNUMBER(J762)),E762*D762+F762=0),"",J762/(E762*D762+F762))</f>
        <v/>
      </c>
    </row>
    <row r="763">
      <c r="A763" s="8" t="n"/>
      <c r="B763" s="6" t="n"/>
      <c r="C763" s="6" t="n"/>
      <c r="D763" s="6" t="n"/>
      <c r="E763" s="7" t="n"/>
      <c r="F763" s="7" t="n"/>
      <c r="G763" s="7" t="n"/>
      <c r="H763" s="3">
        <f>IFERROR(VLOOKUP(B763,Inventory!$A:$B,2,FALSE)*D763,0)</f>
        <v/>
      </c>
      <c r="I763" s="3">
        <f>IF(C763="",0,IFERROR(VLOOKUP(C763,Settings!$A$2:$F$5,2,FALSE)+(E763*D763+F763)*VLOOKUP(C763,Settings!$A$2:$F$5,3,FALSE)/100+(E763*D763+F763)*VLOOKUP(C763,Settings!$A$2:$F$5,4,FALSE)/100+VLOOKUP(C763,Settings!$A$2:$F$5,5,FALSE)+VLOOKUP(C763,Settings!$A$2:$F$5,6,FALSE),0))</f>
        <v/>
      </c>
      <c r="J763" s="3">
        <f>IF(B763="","",IF(ISNA(MATCH(B763,Inventory!$A$2:$A$201,0)),"Check product",E763*D763+F763-I763-G763-H763))</f>
        <v/>
      </c>
      <c r="K763" s="4">
        <f>IF(OR(B763="",NOT(ISNUMBER(J763)),E763*D763+F763=0),"",J763/(E763*D763+F763))</f>
        <v/>
      </c>
    </row>
    <row r="764">
      <c r="A764" s="8" t="n"/>
      <c r="B764" s="6" t="n"/>
      <c r="C764" s="6" t="n"/>
      <c r="D764" s="6" t="n"/>
      <c r="E764" s="7" t="n"/>
      <c r="F764" s="7" t="n"/>
      <c r="G764" s="7" t="n"/>
      <c r="H764" s="3">
        <f>IFERROR(VLOOKUP(B764,Inventory!$A:$B,2,FALSE)*D764,0)</f>
        <v/>
      </c>
      <c r="I764" s="3">
        <f>IF(C764="",0,IFERROR(VLOOKUP(C764,Settings!$A$2:$F$5,2,FALSE)+(E764*D764+F764)*VLOOKUP(C764,Settings!$A$2:$F$5,3,FALSE)/100+(E764*D764+F764)*VLOOKUP(C764,Settings!$A$2:$F$5,4,FALSE)/100+VLOOKUP(C764,Settings!$A$2:$F$5,5,FALSE)+VLOOKUP(C764,Settings!$A$2:$F$5,6,FALSE),0))</f>
        <v/>
      </c>
      <c r="J764" s="3">
        <f>IF(B764="","",IF(ISNA(MATCH(B764,Inventory!$A$2:$A$201,0)),"Check product",E764*D764+F764-I764-G764-H764))</f>
        <v/>
      </c>
      <c r="K764" s="4">
        <f>IF(OR(B764="",NOT(ISNUMBER(J764)),E764*D764+F764=0),"",J764/(E764*D764+F764))</f>
        <v/>
      </c>
    </row>
    <row r="765">
      <c r="A765" s="8" t="n"/>
      <c r="B765" s="6" t="n"/>
      <c r="C765" s="6" t="n"/>
      <c r="D765" s="6" t="n"/>
      <c r="E765" s="7" t="n"/>
      <c r="F765" s="7" t="n"/>
      <c r="G765" s="7" t="n"/>
      <c r="H765" s="3">
        <f>IFERROR(VLOOKUP(B765,Inventory!$A:$B,2,FALSE)*D765,0)</f>
        <v/>
      </c>
      <c r="I765" s="3">
        <f>IF(C765="",0,IFERROR(VLOOKUP(C765,Settings!$A$2:$F$5,2,FALSE)+(E765*D765+F765)*VLOOKUP(C765,Settings!$A$2:$F$5,3,FALSE)/100+(E765*D765+F765)*VLOOKUP(C765,Settings!$A$2:$F$5,4,FALSE)/100+VLOOKUP(C765,Settings!$A$2:$F$5,5,FALSE)+VLOOKUP(C765,Settings!$A$2:$F$5,6,FALSE),0))</f>
        <v/>
      </c>
      <c r="J765" s="3">
        <f>IF(B765="","",IF(ISNA(MATCH(B765,Inventory!$A$2:$A$201,0)),"Check product",E765*D765+F765-I765-G765-H765))</f>
        <v/>
      </c>
      <c r="K765" s="4">
        <f>IF(OR(B765="",NOT(ISNUMBER(J765)),E765*D765+F765=0),"",J765/(E765*D765+F765))</f>
        <v/>
      </c>
    </row>
    <row r="766">
      <c r="A766" s="8" t="n"/>
      <c r="B766" s="6" t="n"/>
      <c r="C766" s="6" t="n"/>
      <c r="D766" s="6" t="n"/>
      <c r="E766" s="7" t="n"/>
      <c r="F766" s="7" t="n"/>
      <c r="G766" s="7" t="n"/>
      <c r="H766" s="3">
        <f>IFERROR(VLOOKUP(B766,Inventory!$A:$B,2,FALSE)*D766,0)</f>
        <v/>
      </c>
      <c r="I766" s="3">
        <f>IF(C766="",0,IFERROR(VLOOKUP(C766,Settings!$A$2:$F$5,2,FALSE)+(E766*D766+F766)*VLOOKUP(C766,Settings!$A$2:$F$5,3,FALSE)/100+(E766*D766+F766)*VLOOKUP(C766,Settings!$A$2:$F$5,4,FALSE)/100+VLOOKUP(C766,Settings!$A$2:$F$5,5,FALSE)+VLOOKUP(C766,Settings!$A$2:$F$5,6,FALSE),0))</f>
        <v/>
      </c>
      <c r="J766" s="3">
        <f>IF(B766="","",IF(ISNA(MATCH(B766,Inventory!$A$2:$A$201,0)),"Check product",E766*D766+F766-I766-G766-H766))</f>
        <v/>
      </c>
      <c r="K766" s="4">
        <f>IF(OR(B766="",NOT(ISNUMBER(J766)),E766*D766+F766=0),"",J766/(E766*D766+F766))</f>
        <v/>
      </c>
    </row>
    <row r="767">
      <c r="A767" s="8" t="n"/>
      <c r="B767" s="6" t="n"/>
      <c r="C767" s="6" t="n"/>
      <c r="D767" s="6" t="n"/>
      <c r="E767" s="7" t="n"/>
      <c r="F767" s="7" t="n"/>
      <c r="G767" s="7" t="n"/>
      <c r="H767" s="3">
        <f>IFERROR(VLOOKUP(B767,Inventory!$A:$B,2,FALSE)*D767,0)</f>
        <v/>
      </c>
      <c r="I767" s="3">
        <f>IF(C767="",0,IFERROR(VLOOKUP(C767,Settings!$A$2:$F$5,2,FALSE)+(E767*D767+F767)*VLOOKUP(C767,Settings!$A$2:$F$5,3,FALSE)/100+(E767*D767+F767)*VLOOKUP(C767,Settings!$A$2:$F$5,4,FALSE)/100+VLOOKUP(C767,Settings!$A$2:$F$5,5,FALSE)+VLOOKUP(C767,Settings!$A$2:$F$5,6,FALSE),0))</f>
        <v/>
      </c>
      <c r="J767" s="3">
        <f>IF(B767="","",IF(ISNA(MATCH(B767,Inventory!$A$2:$A$201,0)),"Check product",E767*D767+F767-I767-G767-H767))</f>
        <v/>
      </c>
      <c r="K767" s="4">
        <f>IF(OR(B767="",NOT(ISNUMBER(J767)),E767*D767+F767=0),"",J767/(E767*D767+F767))</f>
        <v/>
      </c>
    </row>
    <row r="768">
      <c r="A768" s="8" t="n"/>
      <c r="B768" s="6" t="n"/>
      <c r="C768" s="6" t="n"/>
      <c r="D768" s="6" t="n"/>
      <c r="E768" s="7" t="n"/>
      <c r="F768" s="7" t="n"/>
      <c r="G768" s="7" t="n"/>
      <c r="H768" s="3">
        <f>IFERROR(VLOOKUP(B768,Inventory!$A:$B,2,FALSE)*D768,0)</f>
        <v/>
      </c>
      <c r="I768" s="3">
        <f>IF(C768="",0,IFERROR(VLOOKUP(C768,Settings!$A$2:$F$5,2,FALSE)+(E768*D768+F768)*VLOOKUP(C768,Settings!$A$2:$F$5,3,FALSE)/100+(E768*D768+F768)*VLOOKUP(C768,Settings!$A$2:$F$5,4,FALSE)/100+VLOOKUP(C768,Settings!$A$2:$F$5,5,FALSE)+VLOOKUP(C768,Settings!$A$2:$F$5,6,FALSE),0))</f>
        <v/>
      </c>
      <c r="J768" s="3">
        <f>IF(B768="","",IF(ISNA(MATCH(B768,Inventory!$A$2:$A$201,0)),"Check product",E768*D768+F768-I768-G768-H768))</f>
        <v/>
      </c>
      <c r="K768" s="4">
        <f>IF(OR(B768="",NOT(ISNUMBER(J768)),E768*D768+F768=0),"",J768/(E768*D768+F768))</f>
        <v/>
      </c>
    </row>
    <row r="769">
      <c r="A769" s="8" t="n"/>
      <c r="B769" s="6" t="n"/>
      <c r="C769" s="6" t="n"/>
      <c r="D769" s="6" t="n"/>
      <c r="E769" s="7" t="n"/>
      <c r="F769" s="7" t="n"/>
      <c r="G769" s="7" t="n"/>
      <c r="H769" s="3">
        <f>IFERROR(VLOOKUP(B769,Inventory!$A:$B,2,FALSE)*D769,0)</f>
        <v/>
      </c>
      <c r="I769" s="3">
        <f>IF(C769="",0,IFERROR(VLOOKUP(C769,Settings!$A$2:$F$5,2,FALSE)+(E769*D769+F769)*VLOOKUP(C769,Settings!$A$2:$F$5,3,FALSE)/100+(E769*D769+F769)*VLOOKUP(C769,Settings!$A$2:$F$5,4,FALSE)/100+VLOOKUP(C769,Settings!$A$2:$F$5,5,FALSE)+VLOOKUP(C769,Settings!$A$2:$F$5,6,FALSE),0))</f>
        <v/>
      </c>
      <c r="J769" s="3">
        <f>IF(B769="","",IF(ISNA(MATCH(B769,Inventory!$A$2:$A$201,0)),"Check product",E769*D769+F769-I769-G769-H769))</f>
        <v/>
      </c>
      <c r="K769" s="4">
        <f>IF(OR(B769="",NOT(ISNUMBER(J769)),E769*D769+F769=0),"",J769/(E769*D769+F769))</f>
        <v/>
      </c>
    </row>
    <row r="770">
      <c r="A770" s="8" t="n"/>
      <c r="B770" s="6" t="n"/>
      <c r="C770" s="6" t="n"/>
      <c r="D770" s="6" t="n"/>
      <c r="E770" s="7" t="n"/>
      <c r="F770" s="7" t="n"/>
      <c r="G770" s="7" t="n"/>
      <c r="H770" s="3">
        <f>IFERROR(VLOOKUP(B770,Inventory!$A:$B,2,FALSE)*D770,0)</f>
        <v/>
      </c>
      <c r="I770" s="3">
        <f>IF(C770="",0,IFERROR(VLOOKUP(C770,Settings!$A$2:$F$5,2,FALSE)+(E770*D770+F770)*VLOOKUP(C770,Settings!$A$2:$F$5,3,FALSE)/100+(E770*D770+F770)*VLOOKUP(C770,Settings!$A$2:$F$5,4,FALSE)/100+VLOOKUP(C770,Settings!$A$2:$F$5,5,FALSE)+VLOOKUP(C770,Settings!$A$2:$F$5,6,FALSE),0))</f>
        <v/>
      </c>
      <c r="J770" s="3">
        <f>IF(B770="","",IF(ISNA(MATCH(B770,Inventory!$A$2:$A$201,0)),"Check product",E770*D770+F770-I770-G770-H770))</f>
        <v/>
      </c>
      <c r="K770" s="4">
        <f>IF(OR(B770="",NOT(ISNUMBER(J770)),E770*D770+F770=0),"",J770/(E770*D770+F770))</f>
        <v/>
      </c>
    </row>
    <row r="771">
      <c r="A771" s="8" t="n"/>
      <c r="B771" s="6" t="n"/>
      <c r="C771" s="6" t="n"/>
      <c r="D771" s="6" t="n"/>
      <c r="E771" s="7" t="n"/>
      <c r="F771" s="7" t="n"/>
      <c r="G771" s="7" t="n"/>
      <c r="H771" s="3">
        <f>IFERROR(VLOOKUP(B771,Inventory!$A:$B,2,FALSE)*D771,0)</f>
        <v/>
      </c>
      <c r="I771" s="3">
        <f>IF(C771="",0,IFERROR(VLOOKUP(C771,Settings!$A$2:$F$5,2,FALSE)+(E771*D771+F771)*VLOOKUP(C771,Settings!$A$2:$F$5,3,FALSE)/100+(E771*D771+F771)*VLOOKUP(C771,Settings!$A$2:$F$5,4,FALSE)/100+VLOOKUP(C771,Settings!$A$2:$F$5,5,FALSE)+VLOOKUP(C771,Settings!$A$2:$F$5,6,FALSE),0))</f>
        <v/>
      </c>
      <c r="J771" s="3">
        <f>IF(B771="","",IF(ISNA(MATCH(B771,Inventory!$A$2:$A$201,0)),"Check product",E771*D771+F771-I771-G771-H771))</f>
        <v/>
      </c>
      <c r="K771" s="4">
        <f>IF(OR(B771="",NOT(ISNUMBER(J771)),E771*D771+F771=0),"",J771/(E771*D771+F771))</f>
        <v/>
      </c>
    </row>
    <row r="772">
      <c r="A772" s="8" t="n"/>
      <c r="B772" s="6" t="n"/>
      <c r="C772" s="6" t="n"/>
      <c r="D772" s="6" t="n"/>
      <c r="E772" s="7" t="n"/>
      <c r="F772" s="7" t="n"/>
      <c r="G772" s="7" t="n"/>
      <c r="H772" s="3">
        <f>IFERROR(VLOOKUP(B772,Inventory!$A:$B,2,FALSE)*D772,0)</f>
        <v/>
      </c>
      <c r="I772" s="3">
        <f>IF(C772="",0,IFERROR(VLOOKUP(C772,Settings!$A$2:$F$5,2,FALSE)+(E772*D772+F772)*VLOOKUP(C772,Settings!$A$2:$F$5,3,FALSE)/100+(E772*D772+F772)*VLOOKUP(C772,Settings!$A$2:$F$5,4,FALSE)/100+VLOOKUP(C772,Settings!$A$2:$F$5,5,FALSE)+VLOOKUP(C772,Settings!$A$2:$F$5,6,FALSE),0))</f>
        <v/>
      </c>
      <c r="J772" s="3">
        <f>IF(B772="","",IF(ISNA(MATCH(B772,Inventory!$A$2:$A$201,0)),"Check product",E772*D772+F772-I772-G772-H772))</f>
        <v/>
      </c>
      <c r="K772" s="4">
        <f>IF(OR(B772="",NOT(ISNUMBER(J772)),E772*D772+F772=0),"",J772/(E772*D772+F772))</f>
        <v/>
      </c>
    </row>
    <row r="773">
      <c r="A773" s="8" t="n"/>
      <c r="B773" s="6" t="n"/>
      <c r="C773" s="6" t="n"/>
      <c r="D773" s="6" t="n"/>
      <c r="E773" s="7" t="n"/>
      <c r="F773" s="7" t="n"/>
      <c r="G773" s="7" t="n"/>
      <c r="H773" s="3">
        <f>IFERROR(VLOOKUP(B773,Inventory!$A:$B,2,FALSE)*D773,0)</f>
        <v/>
      </c>
      <c r="I773" s="3">
        <f>IF(C773="",0,IFERROR(VLOOKUP(C773,Settings!$A$2:$F$5,2,FALSE)+(E773*D773+F773)*VLOOKUP(C773,Settings!$A$2:$F$5,3,FALSE)/100+(E773*D773+F773)*VLOOKUP(C773,Settings!$A$2:$F$5,4,FALSE)/100+VLOOKUP(C773,Settings!$A$2:$F$5,5,FALSE)+VLOOKUP(C773,Settings!$A$2:$F$5,6,FALSE),0))</f>
        <v/>
      </c>
      <c r="J773" s="3">
        <f>IF(B773="","",IF(ISNA(MATCH(B773,Inventory!$A$2:$A$201,0)),"Check product",E773*D773+F773-I773-G773-H773))</f>
        <v/>
      </c>
      <c r="K773" s="4">
        <f>IF(OR(B773="",NOT(ISNUMBER(J773)),E773*D773+F773=0),"",J773/(E773*D773+F773))</f>
        <v/>
      </c>
    </row>
    <row r="774">
      <c r="A774" s="8" t="n"/>
      <c r="B774" s="6" t="n"/>
      <c r="C774" s="6" t="n"/>
      <c r="D774" s="6" t="n"/>
      <c r="E774" s="7" t="n"/>
      <c r="F774" s="7" t="n"/>
      <c r="G774" s="7" t="n"/>
      <c r="H774" s="3">
        <f>IFERROR(VLOOKUP(B774,Inventory!$A:$B,2,FALSE)*D774,0)</f>
        <v/>
      </c>
      <c r="I774" s="3">
        <f>IF(C774="",0,IFERROR(VLOOKUP(C774,Settings!$A$2:$F$5,2,FALSE)+(E774*D774+F774)*VLOOKUP(C774,Settings!$A$2:$F$5,3,FALSE)/100+(E774*D774+F774)*VLOOKUP(C774,Settings!$A$2:$F$5,4,FALSE)/100+VLOOKUP(C774,Settings!$A$2:$F$5,5,FALSE)+VLOOKUP(C774,Settings!$A$2:$F$5,6,FALSE),0))</f>
        <v/>
      </c>
      <c r="J774" s="3">
        <f>IF(B774="","",IF(ISNA(MATCH(B774,Inventory!$A$2:$A$201,0)),"Check product",E774*D774+F774-I774-G774-H774))</f>
        <v/>
      </c>
      <c r="K774" s="4">
        <f>IF(OR(B774="",NOT(ISNUMBER(J774)),E774*D774+F774=0),"",J774/(E774*D774+F774))</f>
        <v/>
      </c>
    </row>
    <row r="775">
      <c r="A775" s="8" t="n"/>
      <c r="B775" s="6" t="n"/>
      <c r="C775" s="6" t="n"/>
      <c r="D775" s="6" t="n"/>
      <c r="E775" s="7" t="n"/>
      <c r="F775" s="7" t="n"/>
      <c r="G775" s="7" t="n"/>
      <c r="H775" s="3">
        <f>IFERROR(VLOOKUP(B775,Inventory!$A:$B,2,FALSE)*D775,0)</f>
        <v/>
      </c>
      <c r="I775" s="3">
        <f>IF(C775="",0,IFERROR(VLOOKUP(C775,Settings!$A$2:$F$5,2,FALSE)+(E775*D775+F775)*VLOOKUP(C775,Settings!$A$2:$F$5,3,FALSE)/100+(E775*D775+F775)*VLOOKUP(C775,Settings!$A$2:$F$5,4,FALSE)/100+VLOOKUP(C775,Settings!$A$2:$F$5,5,FALSE)+VLOOKUP(C775,Settings!$A$2:$F$5,6,FALSE),0))</f>
        <v/>
      </c>
      <c r="J775" s="3">
        <f>IF(B775="","",IF(ISNA(MATCH(B775,Inventory!$A$2:$A$201,0)),"Check product",E775*D775+F775-I775-G775-H775))</f>
        <v/>
      </c>
      <c r="K775" s="4">
        <f>IF(OR(B775="",NOT(ISNUMBER(J775)),E775*D775+F775=0),"",J775/(E775*D775+F775))</f>
        <v/>
      </c>
    </row>
    <row r="776">
      <c r="A776" s="8" t="n"/>
      <c r="B776" s="6" t="n"/>
      <c r="C776" s="6" t="n"/>
      <c r="D776" s="6" t="n"/>
      <c r="E776" s="7" t="n"/>
      <c r="F776" s="7" t="n"/>
      <c r="G776" s="7" t="n"/>
      <c r="H776" s="3">
        <f>IFERROR(VLOOKUP(B776,Inventory!$A:$B,2,FALSE)*D776,0)</f>
        <v/>
      </c>
      <c r="I776" s="3">
        <f>IF(C776="",0,IFERROR(VLOOKUP(C776,Settings!$A$2:$F$5,2,FALSE)+(E776*D776+F776)*VLOOKUP(C776,Settings!$A$2:$F$5,3,FALSE)/100+(E776*D776+F776)*VLOOKUP(C776,Settings!$A$2:$F$5,4,FALSE)/100+VLOOKUP(C776,Settings!$A$2:$F$5,5,FALSE)+VLOOKUP(C776,Settings!$A$2:$F$5,6,FALSE),0))</f>
        <v/>
      </c>
      <c r="J776" s="3">
        <f>IF(B776="","",IF(ISNA(MATCH(B776,Inventory!$A$2:$A$201,0)),"Check product",E776*D776+F776-I776-G776-H776))</f>
        <v/>
      </c>
      <c r="K776" s="4">
        <f>IF(OR(B776="",NOT(ISNUMBER(J776)),E776*D776+F776=0),"",J776/(E776*D776+F776))</f>
        <v/>
      </c>
    </row>
    <row r="777">
      <c r="A777" s="8" t="n"/>
      <c r="B777" s="6" t="n"/>
      <c r="C777" s="6" t="n"/>
      <c r="D777" s="6" t="n"/>
      <c r="E777" s="7" t="n"/>
      <c r="F777" s="7" t="n"/>
      <c r="G777" s="7" t="n"/>
      <c r="H777" s="3">
        <f>IFERROR(VLOOKUP(B777,Inventory!$A:$B,2,FALSE)*D777,0)</f>
        <v/>
      </c>
      <c r="I777" s="3">
        <f>IF(C777="",0,IFERROR(VLOOKUP(C777,Settings!$A$2:$F$5,2,FALSE)+(E777*D777+F777)*VLOOKUP(C777,Settings!$A$2:$F$5,3,FALSE)/100+(E777*D777+F777)*VLOOKUP(C777,Settings!$A$2:$F$5,4,FALSE)/100+VLOOKUP(C777,Settings!$A$2:$F$5,5,FALSE)+VLOOKUP(C777,Settings!$A$2:$F$5,6,FALSE),0))</f>
        <v/>
      </c>
      <c r="J777" s="3">
        <f>IF(B777="","",IF(ISNA(MATCH(B777,Inventory!$A$2:$A$201,0)),"Check product",E777*D777+F777-I777-G777-H777))</f>
        <v/>
      </c>
      <c r="K777" s="4">
        <f>IF(OR(B777="",NOT(ISNUMBER(J777)),E777*D777+F777=0),"",J777/(E777*D777+F777))</f>
        <v/>
      </c>
    </row>
    <row r="778">
      <c r="A778" s="8" t="n"/>
      <c r="B778" s="6" t="n"/>
      <c r="C778" s="6" t="n"/>
      <c r="D778" s="6" t="n"/>
      <c r="E778" s="7" t="n"/>
      <c r="F778" s="7" t="n"/>
      <c r="G778" s="7" t="n"/>
      <c r="H778" s="3">
        <f>IFERROR(VLOOKUP(B778,Inventory!$A:$B,2,FALSE)*D778,0)</f>
        <v/>
      </c>
      <c r="I778" s="3">
        <f>IF(C778="",0,IFERROR(VLOOKUP(C778,Settings!$A$2:$F$5,2,FALSE)+(E778*D778+F778)*VLOOKUP(C778,Settings!$A$2:$F$5,3,FALSE)/100+(E778*D778+F778)*VLOOKUP(C778,Settings!$A$2:$F$5,4,FALSE)/100+VLOOKUP(C778,Settings!$A$2:$F$5,5,FALSE)+VLOOKUP(C778,Settings!$A$2:$F$5,6,FALSE),0))</f>
        <v/>
      </c>
      <c r="J778" s="3">
        <f>IF(B778="","",IF(ISNA(MATCH(B778,Inventory!$A$2:$A$201,0)),"Check product",E778*D778+F778-I778-G778-H778))</f>
        <v/>
      </c>
      <c r="K778" s="4">
        <f>IF(OR(B778="",NOT(ISNUMBER(J778)),E778*D778+F778=0),"",J778/(E778*D778+F778))</f>
        <v/>
      </c>
    </row>
    <row r="779">
      <c r="A779" s="8" t="n"/>
      <c r="B779" s="6" t="n"/>
      <c r="C779" s="6" t="n"/>
      <c r="D779" s="6" t="n"/>
      <c r="E779" s="7" t="n"/>
      <c r="F779" s="7" t="n"/>
      <c r="G779" s="7" t="n"/>
      <c r="H779" s="3">
        <f>IFERROR(VLOOKUP(B779,Inventory!$A:$B,2,FALSE)*D779,0)</f>
        <v/>
      </c>
      <c r="I779" s="3">
        <f>IF(C779="",0,IFERROR(VLOOKUP(C779,Settings!$A$2:$F$5,2,FALSE)+(E779*D779+F779)*VLOOKUP(C779,Settings!$A$2:$F$5,3,FALSE)/100+(E779*D779+F779)*VLOOKUP(C779,Settings!$A$2:$F$5,4,FALSE)/100+VLOOKUP(C779,Settings!$A$2:$F$5,5,FALSE)+VLOOKUP(C779,Settings!$A$2:$F$5,6,FALSE),0))</f>
        <v/>
      </c>
      <c r="J779" s="3">
        <f>IF(B779="","",IF(ISNA(MATCH(B779,Inventory!$A$2:$A$201,0)),"Check product",E779*D779+F779-I779-G779-H779))</f>
        <v/>
      </c>
      <c r="K779" s="4">
        <f>IF(OR(B779="",NOT(ISNUMBER(J779)),E779*D779+F779=0),"",J779/(E779*D779+F779))</f>
        <v/>
      </c>
    </row>
    <row r="780">
      <c r="A780" s="8" t="n"/>
      <c r="B780" s="6" t="n"/>
      <c r="C780" s="6" t="n"/>
      <c r="D780" s="6" t="n"/>
      <c r="E780" s="7" t="n"/>
      <c r="F780" s="7" t="n"/>
      <c r="G780" s="7" t="n"/>
      <c r="H780" s="3">
        <f>IFERROR(VLOOKUP(B780,Inventory!$A:$B,2,FALSE)*D780,0)</f>
        <v/>
      </c>
      <c r="I780" s="3">
        <f>IF(C780="",0,IFERROR(VLOOKUP(C780,Settings!$A$2:$F$5,2,FALSE)+(E780*D780+F780)*VLOOKUP(C780,Settings!$A$2:$F$5,3,FALSE)/100+(E780*D780+F780)*VLOOKUP(C780,Settings!$A$2:$F$5,4,FALSE)/100+VLOOKUP(C780,Settings!$A$2:$F$5,5,FALSE)+VLOOKUP(C780,Settings!$A$2:$F$5,6,FALSE),0))</f>
        <v/>
      </c>
      <c r="J780" s="3">
        <f>IF(B780="","",IF(ISNA(MATCH(B780,Inventory!$A$2:$A$201,0)),"Check product",E780*D780+F780-I780-G780-H780))</f>
        <v/>
      </c>
      <c r="K780" s="4">
        <f>IF(OR(B780="",NOT(ISNUMBER(J780)),E780*D780+F780=0),"",J780/(E780*D780+F780))</f>
        <v/>
      </c>
    </row>
    <row r="781">
      <c r="A781" s="8" t="n"/>
      <c r="B781" s="6" t="n"/>
      <c r="C781" s="6" t="n"/>
      <c r="D781" s="6" t="n"/>
      <c r="E781" s="7" t="n"/>
      <c r="F781" s="7" t="n"/>
      <c r="G781" s="7" t="n"/>
      <c r="H781" s="3">
        <f>IFERROR(VLOOKUP(B781,Inventory!$A:$B,2,FALSE)*D781,0)</f>
        <v/>
      </c>
      <c r="I781" s="3">
        <f>IF(C781="",0,IFERROR(VLOOKUP(C781,Settings!$A$2:$F$5,2,FALSE)+(E781*D781+F781)*VLOOKUP(C781,Settings!$A$2:$F$5,3,FALSE)/100+(E781*D781+F781)*VLOOKUP(C781,Settings!$A$2:$F$5,4,FALSE)/100+VLOOKUP(C781,Settings!$A$2:$F$5,5,FALSE)+VLOOKUP(C781,Settings!$A$2:$F$5,6,FALSE),0))</f>
        <v/>
      </c>
      <c r="J781" s="3">
        <f>IF(B781="","",IF(ISNA(MATCH(B781,Inventory!$A$2:$A$201,0)),"Check product",E781*D781+F781-I781-G781-H781))</f>
        <v/>
      </c>
      <c r="K781" s="4">
        <f>IF(OR(B781="",NOT(ISNUMBER(J781)),E781*D781+F781=0),"",J781/(E781*D781+F781))</f>
        <v/>
      </c>
    </row>
    <row r="782">
      <c r="A782" s="8" t="n"/>
      <c r="B782" s="6" t="n"/>
      <c r="C782" s="6" t="n"/>
      <c r="D782" s="6" t="n"/>
      <c r="E782" s="7" t="n"/>
      <c r="F782" s="7" t="n"/>
      <c r="G782" s="7" t="n"/>
      <c r="H782" s="3">
        <f>IFERROR(VLOOKUP(B782,Inventory!$A:$B,2,FALSE)*D782,0)</f>
        <v/>
      </c>
      <c r="I782" s="3">
        <f>IF(C782="",0,IFERROR(VLOOKUP(C782,Settings!$A$2:$F$5,2,FALSE)+(E782*D782+F782)*VLOOKUP(C782,Settings!$A$2:$F$5,3,FALSE)/100+(E782*D782+F782)*VLOOKUP(C782,Settings!$A$2:$F$5,4,FALSE)/100+VLOOKUP(C782,Settings!$A$2:$F$5,5,FALSE)+VLOOKUP(C782,Settings!$A$2:$F$5,6,FALSE),0))</f>
        <v/>
      </c>
      <c r="J782" s="3">
        <f>IF(B782="","",IF(ISNA(MATCH(B782,Inventory!$A$2:$A$201,0)),"Check product",E782*D782+F782-I782-G782-H782))</f>
        <v/>
      </c>
      <c r="K782" s="4">
        <f>IF(OR(B782="",NOT(ISNUMBER(J782)),E782*D782+F782=0),"",J782/(E782*D782+F782))</f>
        <v/>
      </c>
    </row>
    <row r="783">
      <c r="A783" s="8" t="n"/>
      <c r="B783" s="6" t="n"/>
      <c r="C783" s="6" t="n"/>
      <c r="D783" s="6" t="n"/>
      <c r="E783" s="7" t="n"/>
      <c r="F783" s="7" t="n"/>
      <c r="G783" s="7" t="n"/>
      <c r="H783" s="3">
        <f>IFERROR(VLOOKUP(B783,Inventory!$A:$B,2,FALSE)*D783,0)</f>
        <v/>
      </c>
      <c r="I783" s="3">
        <f>IF(C783="",0,IFERROR(VLOOKUP(C783,Settings!$A$2:$F$5,2,FALSE)+(E783*D783+F783)*VLOOKUP(C783,Settings!$A$2:$F$5,3,FALSE)/100+(E783*D783+F783)*VLOOKUP(C783,Settings!$A$2:$F$5,4,FALSE)/100+VLOOKUP(C783,Settings!$A$2:$F$5,5,FALSE)+VLOOKUP(C783,Settings!$A$2:$F$5,6,FALSE),0))</f>
        <v/>
      </c>
      <c r="J783" s="3">
        <f>IF(B783="","",IF(ISNA(MATCH(B783,Inventory!$A$2:$A$201,0)),"Check product",E783*D783+F783-I783-G783-H783))</f>
        <v/>
      </c>
      <c r="K783" s="4">
        <f>IF(OR(B783="",NOT(ISNUMBER(J783)),E783*D783+F783=0),"",J783/(E783*D783+F783))</f>
        <v/>
      </c>
    </row>
    <row r="784">
      <c r="A784" s="8" t="n"/>
      <c r="B784" s="6" t="n"/>
      <c r="C784" s="6" t="n"/>
      <c r="D784" s="6" t="n"/>
      <c r="E784" s="7" t="n"/>
      <c r="F784" s="7" t="n"/>
      <c r="G784" s="7" t="n"/>
      <c r="H784" s="3">
        <f>IFERROR(VLOOKUP(B784,Inventory!$A:$B,2,FALSE)*D784,0)</f>
        <v/>
      </c>
      <c r="I784" s="3">
        <f>IF(C784="",0,IFERROR(VLOOKUP(C784,Settings!$A$2:$F$5,2,FALSE)+(E784*D784+F784)*VLOOKUP(C784,Settings!$A$2:$F$5,3,FALSE)/100+(E784*D784+F784)*VLOOKUP(C784,Settings!$A$2:$F$5,4,FALSE)/100+VLOOKUP(C784,Settings!$A$2:$F$5,5,FALSE)+VLOOKUP(C784,Settings!$A$2:$F$5,6,FALSE),0))</f>
        <v/>
      </c>
      <c r="J784" s="3">
        <f>IF(B784="","",IF(ISNA(MATCH(B784,Inventory!$A$2:$A$201,0)),"Check product",E784*D784+F784-I784-G784-H784))</f>
        <v/>
      </c>
      <c r="K784" s="4">
        <f>IF(OR(B784="",NOT(ISNUMBER(J784)),E784*D784+F784=0),"",J784/(E784*D784+F784))</f>
        <v/>
      </c>
    </row>
    <row r="785">
      <c r="A785" s="8" t="n"/>
      <c r="B785" s="6" t="n"/>
      <c r="C785" s="6" t="n"/>
      <c r="D785" s="6" t="n"/>
      <c r="E785" s="7" t="n"/>
      <c r="F785" s="7" t="n"/>
      <c r="G785" s="7" t="n"/>
      <c r="H785" s="3">
        <f>IFERROR(VLOOKUP(B785,Inventory!$A:$B,2,FALSE)*D785,0)</f>
        <v/>
      </c>
      <c r="I785" s="3">
        <f>IF(C785="",0,IFERROR(VLOOKUP(C785,Settings!$A$2:$F$5,2,FALSE)+(E785*D785+F785)*VLOOKUP(C785,Settings!$A$2:$F$5,3,FALSE)/100+(E785*D785+F785)*VLOOKUP(C785,Settings!$A$2:$F$5,4,FALSE)/100+VLOOKUP(C785,Settings!$A$2:$F$5,5,FALSE)+VLOOKUP(C785,Settings!$A$2:$F$5,6,FALSE),0))</f>
        <v/>
      </c>
      <c r="J785" s="3">
        <f>IF(B785="","",IF(ISNA(MATCH(B785,Inventory!$A$2:$A$201,0)),"Check product",E785*D785+F785-I785-G785-H785))</f>
        <v/>
      </c>
      <c r="K785" s="4">
        <f>IF(OR(B785="",NOT(ISNUMBER(J785)),E785*D785+F785=0),"",J785/(E785*D785+F785))</f>
        <v/>
      </c>
    </row>
    <row r="786">
      <c r="A786" s="8" t="n"/>
      <c r="B786" s="6" t="n"/>
      <c r="C786" s="6" t="n"/>
      <c r="D786" s="6" t="n"/>
      <c r="E786" s="7" t="n"/>
      <c r="F786" s="7" t="n"/>
      <c r="G786" s="7" t="n"/>
      <c r="H786" s="3">
        <f>IFERROR(VLOOKUP(B786,Inventory!$A:$B,2,FALSE)*D786,0)</f>
        <v/>
      </c>
      <c r="I786" s="3">
        <f>IF(C786="",0,IFERROR(VLOOKUP(C786,Settings!$A$2:$F$5,2,FALSE)+(E786*D786+F786)*VLOOKUP(C786,Settings!$A$2:$F$5,3,FALSE)/100+(E786*D786+F786)*VLOOKUP(C786,Settings!$A$2:$F$5,4,FALSE)/100+VLOOKUP(C786,Settings!$A$2:$F$5,5,FALSE)+VLOOKUP(C786,Settings!$A$2:$F$5,6,FALSE),0))</f>
        <v/>
      </c>
      <c r="J786" s="3">
        <f>IF(B786="","",IF(ISNA(MATCH(B786,Inventory!$A$2:$A$201,0)),"Check product",E786*D786+F786-I786-G786-H786))</f>
        <v/>
      </c>
      <c r="K786" s="4">
        <f>IF(OR(B786="",NOT(ISNUMBER(J786)),E786*D786+F786=0),"",J786/(E786*D786+F786))</f>
        <v/>
      </c>
    </row>
    <row r="787">
      <c r="A787" s="8" t="n"/>
      <c r="B787" s="6" t="n"/>
      <c r="C787" s="6" t="n"/>
      <c r="D787" s="6" t="n"/>
      <c r="E787" s="7" t="n"/>
      <c r="F787" s="7" t="n"/>
      <c r="G787" s="7" t="n"/>
      <c r="H787" s="3">
        <f>IFERROR(VLOOKUP(B787,Inventory!$A:$B,2,FALSE)*D787,0)</f>
        <v/>
      </c>
      <c r="I787" s="3">
        <f>IF(C787="",0,IFERROR(VLOOKUP(C787,Settings!$A$2:$F$5,2,FALSE)+(E787*D787+F787)*VLOOKUP(C787,Settings!$A$2:$F$5,3,FALSE)/100+(E787*D787+F787)*VLOOKUP(C787,Settings!$A$2:$F$5,4,FALSE)/100+VLOOKUP(C787,Settings!$A$2:$F$5,5,FALSE)+VLOOKUP(C787,Settings!$A$2:$F$5,6,FALSE),0))</f>
        <v/>
      </c>
      <c r="J787" s="3">
        <f>IF(B787="","",IF(ISNA(MATCH(B787,Inventory!$A$2:$A$201,0)),"Check product",E787*D787+F787-I787-G787-H787))</f>
        <v/>
      </c>
      <c r="K787" s="4">
        <f>IF(OR(B787="",NOT(ISNUMBER(J787)),E787*D787+F787=0),"",J787/(E787*D787+F787))</f>
        <v/>
      </c>
    </row>
    <row r="788">
      <c r="A788" s="8" t="n"/>
      <c r="B788" s="6" t="n"/>
      <c r="C788" s="6" t="n"/>
      <c r="D788" s="6" t="n"/>
      <c r="E788" s="7" t="n"/>
      <c r="F788" s="7" t="n"/>
      <c r="G788" s="7" t="n"/>
      <c r="H788" s="3">
        <f>IFERROR(VLOOKUP(B788,Inventory!$A:$B,2,FALSE)*D788,0)</f>
        <v/>
      </c>
      <c r="I788" s="3">
        <f>IF(C788="",0,IFERROR(VLOOKUP(C788,Settings!$A$2:$F$5,2,FALSE)+(E788*D788+F788)*VLOOKUP(C788,Settings!$A$2:$F$5,3,FALSE)/100+(E788*D788+F788)*VLOOKUP(C788,Settings!$A$2:$F$5,4,FALSE)/100+VLOOKUP(C788,Settings!$A$2:$F$5,5,FALSE)+VLOOKUP(C788,Settings!$A$2:$F$5,6,FALSE),0))</f>
        <v/>
      </c>
      <c r="J788" s="3">
        <f>IF(B788="","",IF(ISNA(MATCH(B788,Inventory!$A$2:$A$201,0)),"Check product",E788*D788+F788-I788-G788-H788))</f>
        <v/>
      </c>
      <c r="K788" s="4">
        <f>IF(OR(B788="",NOT(ISNUMBER(J788)),E788*D788+F788=0),"",J788/(E788*D788+F788))</f>
        <v/>
      </c>
    </row>
    <row r="789">
      <c r="A789" s="8" t="n"/>
      <c r="B789" s="6" t="n"/>
      <c r="C789" s="6" t="n"/>
      <c r="D789" s="6" t="n"/>
      <c r="E789" s="7" t="n"/>
      <c r="F789" s="7" t="n"/>
      <c r="G789" s="7" t="n"/>
      <c r="H789" s="3">
        <f>IFERROR(VLOOKUP(B789,Inventory!$A:$B,2,FALSE)*D789,0)</f>
        <v/>
      </c>
      <c r="I789" s="3">
        <f>IF(C789="",0,IFERROR(VLOOKUP(C789,Settings!$A$2:$F$5,2,FALSE)+(E789*D789+F789)*VLOOKUP(C789,Settings!$A$2:$F$5,3,FALSE)/100+(E789*D789+F789)*VLOOKUP(C789,Settings!$A$2:$F$5,4,FALSE)/100+VLOOKUP(C789,Settings!$A$2:$F$5,5,FALSE)+VLOOKUP(C789,Settings!$A$2:$F$5,6,FALSE),0))</f>
        <v/>
      </c>
      <c r="J789" s="3">
        <f>IF(B789="","",IF(ISNA(MATCH(B789,Inventory!$A$2:$A$201,0)),"Check product",E789*D789+F789-I789-G789-H789))</f>
        <v/>
      </c>
      <c r="K789" s="4">
        <f>IF(OR(B789="",NOT(ISNUMBER(J789)),E789*D789+F789=0),"",J789/(E789*D789+F789))</f>
        <v/>
      </c>
    </row>
    <row r="790">
      <c r="A790" s="8" t="n"/>
      <c r="B790" s="6" t="n"/>
      <c r="C790" s="6" t="n"/>
      <c r="D790" s="6" t="n"/>
      <c r="E790" s="7" t="n"/>
      <c r="F790" s="7" t="n"/>
      <c r="G790" s="7" t="n"/>
      <c r="H790" s="3">
        <f>IFERROR(VLOOKUP(B790,Inventory!$A:$B,2,FALSE)*D790,0)</f>
        <v/>
      </c>
      <c r="I790" s="3">
        <f>IF(C790="",0,IFERROR(VLOOKUP(C790,Settings!$A$2:$F$5,2,FALSE)+(E790*D790+F790)*VLOOKUP(C790,Settings!$A$2:$F$5,3,FALSE)/100+(E790*D790+F790)*VLOOKUP(C790,Settings!$A$2:$F$5,4,FALSE)/100+VLOOKUP(C790,Settings!$A$2:$F$5,5,FALSE)+VLOOKUP(C790,Settings!$A$2:$F$5,6,FALSE),0))</f>
        <v/>
      </c>
      <c r="J790" s="3">
        <f>IF(B790="","",IF(ISNA(MATCH(B790,Inventory!$A$2:$A$201,0)),"Check product",E790*D790+F790-I790-G790-H790))</f>
        <v/>
      </c>
      <c r="K790" s="4">
        <f>IF(OR(B790="",NOT(ISNUMBER(J790)),E790*D790+F790=0),"",J790/(E790*D790+F790))</f>
        <v/>
      </c>
    </row>
    <row r="791">
      <c r="A791" s="8" t="n"/>
      <c r="B791" s="6" t="n"/>
      <c r="C791" s="6" t="n"/>
      <c r="D791" s="6" t="n"/>
      <c r="E791" s="7" t="n"/>
      <c r="F791" s="7" t="n"/>
      <c r="G791" s="7" t="n"/>
      <c r="H791" s="3">
        <f>IFERROR(VLOOKUP(B791,Inventory!$A:$B,2,FALSE)*D791,0)</f>
        <v/>
      </c>
      <c r="I791" s="3">
        <f>IF(C791="",0,IFERROR(VLOOKUP(C791,Settings!$A$2:$F$5,2,FALSE)+(E791*D791+F791)*VLOOKUP(C791,Settings!$A$2:$F$5,3,FALSE)/100+(E791*D791+F791)*VLOOKUP(C791,Settings!$A$2:$F$5,4,FALSE)/100+VLOOKUP(C791,Settings!$A$2:$F$5,5,FALSE)+VLOOKUP(C791,Settings!$A$2:$F$5,6,FALSE),0))</f>
        <v/>
      </c>
      <c r="J791" s="3">
        <f>IF(B791="","",IF(ISNA(MATCH(B791,Inventory!$A$2:$A$201,0)),"Check product",E791*D791+F791-I791-G791-H791))</f>
        <v/>
      </c>
      <c r="K791" s="4">
        <f>IF(OR(B791="",NOT(ISNUMBER(J791)),E791*D791+F791=0),"",J791/(E791*D791+F791))</f>
        <v/>
      </c>
    </row>
    <row r="792">
      <c r="A792" s="8" t="n"/>
      <c r="B792" s="6" t="n"/>
      <c r="C792" s="6" t="n"/>
      <c r="D792" s="6" t="n"/>
      <c r="E792" s="7" t="n"/>
      <c r="F792" s="7" t="n"/>
      <c r="G792" s="7" t="n"/>
      <c r="H792" s="3">
        <f>IFERROR(VLOOKUP(B792,Inventory!$A:$B,2,FALSE)*D792,0)</f>
        <v/>
      </c>
      <c r="I792" s="3">
        <f>IF(C792="",0,IFERROR(VLOOKUP(C792,Settings!$A$2:$F$5,2,FALSE)+(E792*D792+F792)*VLOOKUP(C792,Settings!$A$2:$F$5,3,FALSE)/100+(E792*D792+F792)*VLOOKUP(C792,Settings!$A$2:$F$5,4,FALSE)/100+VLOOKUP(C792,Settings!$A$2:$F$5,5,FALSE)+VLOOKUP(C792,Settings!$A$2:$F$5,6,FALSE),0))</f>
        <v/>
      </c>
      <c r="J792" s="3">
        <f>IF(B792="","",IF(ISNA(MATCH(B792,Inventory!$A$2:$A$201,0)),"Check product",E792*D792+F792-I792-G792-H792))</f>
        <v/>
      </c>
      <c r="K792" s="4">
        <f>IF(OR(B792="",NOT(ISNUMBER(J792)),E792*D792+F792=0),"",J792/(E792*D792+F792))</f>
        <v/>
      </c>
    </row>
    <row r="793">
      <c r="A793" s="8" t="n"/>
      <c r="B793" s="6" t="n"/>
      <c r="C793" s="6" t="n"/>
      <c r="D793" s="6" t="n"/>
      <c r="E793" s="7" t="n"/>
      <c r="F793" s="7" t="n"/>
      <c r="G793" s="7" t="n"/>
      <c r="H793" s="3">
        <f>IFERROR(VLOOKUP(B793,Inventory!$A:$B,2,FALSE)*D793,0)</f>
        <v/>
      </c>
      <c r="I793" s="3">
        <f>IF(C793="",0,IFERROR(VLOOKUP(C793,Settings!$A$2:$F$5,2,FALSE)+(E793*D793+F793)*VLOOKUP(C793,Settings!$A$2:$F$5,3,FALSE)/100+(E793*D793+F793)*VLOOKUP(C793,Settings!$A$2:$F$5,4,FALSE)/100+VLOOKUP(C793,Settings!$A$2:$F$5,5,FALSE)+VLOOKUP(C793,Settings!$A$2:$F$5,6,FALSE),0))</f>
        <v/>
      </c>
      <c r="J793" s="3">
        <f>IF(B793="","",IF(ISNA(MATCH(B793,Inventory!$A$2:$A$201,0)),"Check product",E793*D793+F793-I793-G793-H793))</f>
        <v/>
      </c>
      <c r="K793" s="4">
        <f>IF(OR(B793="",NOT(ISNUMBER(J793)),E793*D793+F793=0),"",J793/(E793*D793+F793))</f>
        <v/>
      </c>
    </row>
    <row r="794">
      <c r="A794" s="8" t="n"/>
      <c r="B794" s="6" t="n"/>
      <c r="C794" s="6" t="n"/>
      <c r="D794" s="6" t="n"/>
      <c r="E794" s="7" t="n"/>
      <c r="F794" s="7" t="n"/>
      <c r="G794" s="7" t="n"/>
      <c r="H794" s="3">
        <f>IFERROR(VLOOKUP(B794,Inventory!$A:$B,2,FALSE)*D794,0)</f>
        <v/>
      </c>
      <c r="I794" s="3">
        <f>IF(C794="",0,IFERROR(VLOOKUP(C794,Settings!$A$2:$F$5,2,FALSE)+(E794*D794+F794)*VLOOKUP(C794,Settings!$A$2:$F$5,3,FALSE)/100+(E794*D794+F794)*VLOOKUP(C794,Settings!$A$2:$F$5,4,FALSE)/100+VLOOKUP(C794,Settings!$A$2:$F$5,5,FALSE)+VLOOKUP(C794,Settings!$A$2:$F$5,6,FALSE),0))</f>
        <v/>
      </c>
      <c r="J794" s="3">
        <f>IF(B794="","",IF(ISNA(MATCH(B794,Inventory!$A$2:$A$201,0)),"Check product",E794*D794+F794-I794-G794-H794))</f>
        <v/>
      </c>
      <c r="K794" s="4">
        <f>IF(OR(B794="",NOT(ISNUMBER(J794)),E794*D794+F794=0),"",J794/(E794*D794+F794))</f>
        <v/>
      </c>
    </row>
    <row r="795">
      <c r="A795" s="8" t="n"/>
      <c r="B795" s="6" t="n"/>
      <c r="C795" s="6" t="n"/>
      <c r="D795" s="6" t="n"/>
      <c r="E795" s="7" t="n"/>
      <c r="F795" s="7" t="n"/>
      <c r="G795" s="7" t="n"/>
      <c r="H795" s="3">
        <f>IFERROR(VLOOKUP(B795,Inventory!$A:$B,2,FALSE)*D795,0)</f>
        <v/>
      </c>
      <c r="I795" s="3">
        <f>IF(C795="",0,IFERROR(VLOOKUP(C795,Settings!$A$2:$F$5,2,FALSE)+(E795*D795+F795)*VLOOKUP(C795,Settings!$A$2:$F$5,3,FALSE)/100+(E795*D795+F795)*VLOOKUP(C795,Settings!$A$2:$F$5,4,FALSE)/100+VLOOKUP(C795,Settings!$A$2:$F$5,5,FALSE)+VLOOKUP(C795,Settings!$A$2:$F$5,6,FALSE),0))</f>
        <v/>
      </c>
      <c r="J795" s="3">
        <f>IF(B795="","",IF(ISNA(MATCH(B795,Inventory!$A$2:$A$201,0)),"Check product",E795*D795+F795-I795-G795-H795))</f>
        <v/>
      </c>
      <c r="K795" s="4">
        <f>IF(OR(B795="",NOT(ISNUMBER(J795)),E795*D795+F795=0),"",J795/(E795*D795+F795))</f>
        <v/>
      </c>
    </row>
    <row r="796">
      <c r="A796" s="8" t="n"/>
      <c r="B796" s="6" t="n"/>
      <c r="C796" s="6" t="n"/>
      <c r="D796" s="6" t="n"/>
      <c r="E796" s="7" t="n"/>
      <c r="F796" s="7" t="n"/>
      <c r="G796" s="7" t="n"/>
      <c r="H796" s="3">
        <f>IFERROR(VLOOKUP(B796,Inventory!$A:$B,2,FALSE)*D796,0)</f>
        <v/>
      </c>
      <c r="I796" s="3">
        <f>IF(C796="",0,IFERROR(VLOOKUP(C796,Settings!$A$2:$F$5,2,FALSE)+(E796*D796+F796)*VLOOKUP(C796,Settings!$A$2:$F$5,3,FALSE)/100+(E796*D796+F796)*VLOOKUP(C796,Settings!$A$2:$F$5,4,FALSE)/100+VLOOKUP(C796,Settings!$A$2:$F$5,5,FALSE)+VLOOKUP(C796,Settings!$A$2:$F$5,6,FALSE),0))</f>
        <v/>
      </c>
      <c r="J796" s="3">
        <f>IF(B796="","",IF(ISNA(MATCH(B796,Inventory!$A$2:$A$201,0)),"Check product",E796*D796+F796-I796-G796-H796))</f>
        <v/>
      </c>
      <c r="K796" s="4">
        <f>IF(OR(B796="",NOT(ISNUMBER(J796)),E796*D796+F796=0),"",J796/(E796*D796+F796))</f>
        <v/>
      </c>
    </row>
    <row r="797">
      <c r="A797" s="8" t="n"/>
      <c r="B797" s="6" t="n"/>
      <c r="C797" s="6" t="n"/>
      <c r="D797" s="6" t="n"/>
      <c r="E797" s="7" t="n"/>
      <c r="F797" s="7" t="n"/>
      <c r="G797" s="7" t="n"/>
      <c r="H797" s="3">
        <f>IFERROR(VLOOKUP(B797,Inventory!$A:$B,2,FALSE)*D797,0)</f>
        <v/>
      </c>
      <c r="I797" s="3">
        <f>IF(C797="",0,IFERROR(VLOOKUP(C797,Settings!$A$2:$F$5,2,FALSE)+(E797*D797+F797)*VLOOKUP(C797,Settings!$A$2:$F$5,3,FALSE)/100+(E797*D797+F797)*VLOOKUP(C797,Settings!$A$2:$F$5,4,FALSE)/100+VLOOKUP(C797,Settings!$A$2:$F$5,5,FALSE)+VLOOKUP(C797,Settings!$A$2:$F$5,6,FALSE),0))</f>
        <v/>
      </c>
      <c r="J797" s="3">
        <f>IF(B797="","",IF(ISNA(MATCH(B797,Inventory!$A$2:$A$201,0)),"Check product",E797*D797+F797-I797-G797-H797))</f>
        <v/>
      </c>
      <c r="K797" s="4">
        <f>IF(OR(B797="",NOT(ISNUMBER(J797)),E797*D797+F797=0),"",J797/(E797*D797+F797))</f>
        <v/>
      </c>
    </row>
    <row r="798">
      <c r="A798" s="8" t="n"/>
      <c r="B798" s="6" t="n"/>
      <c r="C798" s="6" t="n"/>
      <c r="D798" s="6" t="n"/>
      <c r="E798" s="7" t="n"/>
      <c r="F798" s="7" t="n"/>
      <c r="G798" s="7" t="n"/>
      <c r="H798" s="3">
        <f>IFERROR(VLOOKUP(B798,Inventory!$A:$B,2,FALSE)*D798,0)</f>
        <v/>
      </c>
      <c r="I798" s="3">
        <f>IF(C798="",0,IFERROR(VLOOKUP(C798,Settings!$A$2:$F$5,2,FALSE)+(E798*D798+F798)*VLOOKUP(C798,Settings!$A$2:$F$5,3,FALSE)/100+(E798*D798+F798)*VLOOKUP(C798,Settings!$A$2:$F$5,4,FALSE)/100+VLOOKUP(C798,Settings!$A$2:$F$5,5,FALSE)+VLOOKUP(C798,Settings!$A$2:$F$5,6,FALSE),0))</f>
        <v/>
      </c>
      <c r="J798" s="3">
        <f>IF(B798="","",IF(ISNA(MATCH(B798,Inventory!$A$2:$A$201,0)),"Check product",E798*D798+F798-I798-G798-H798))</f>
        <v/>
      </c>
      <c r="K798" s="4">
        <f>IF(OR(B798="",NOT(ISNUMBER(J798)),E798*D798+F798=0),"",J798/(E798*D798+F798))</f>
        <v/>
      </c>
    </row>
    <row r="799">
      <c r="A799" s="8" t="n"/>
      <c r="B799" s="6" t="n"/>
      <c r="C799" s="6" t="n"/>
      <c r="D799" s="6" t="n"/>
      <c r="E799" s="7" t="n"/>
      <c r="F799" s="7" t="n"/>
      <c r="G799" s="7" t="n"/>
      <c r="H799" s="3">
        <f>IFERROR(VLOOKUP(B799,Inventory!$A:$B,2,FALSE)*D799,0)</f>
        <v/>
      </c>
      <c r="I799" s="3">
        <f>IF(C799="",0,IFERROR(VLOOKUP(C799,Settings!$A$2:$F$5,2,FALSE)+(E799*D799+F799)*VLOOKUP(C799,Settings!$A$2:$F$5,3,FALSE)/100+(E799*D799+F799)*VLOOKUP(C799,Settings!$A$2:$F$5,4,FALSE)/100+VLOOKUP(C799,Settings!$A$2:$F$5,5,FALSE)+VLOOKUP(C799,Settings!$A$2:$F$5,6,FALSE),0))</f>
        <v/>
      </c>
      <c r="J799" s="3">
        <f>IF(B799="","",IF(ISNA(MATCH(B799,Inventory!$A$2:$A$201,0)),"Check product",E799*D799+F799-I799-G799-H799))</f>
        <v/>
      </c>
      <c r="K799" s="4">
        <f>IF(OR(B799="",NOT(ISNUMBER(J799)),E799*D799+F799=0),"",J799/(E799*D799+F799))</f>
        <v/>
      </c>
    </row>
    <row r="800">
      <c r="A800" s="8" t="n"/>
      <c r="B800" s="6" t="n"/>
      <c r="C800" s="6" t="n"/>
      <c r="D800" s="6" t="n"/>
      <c r="E800" s="7" t="n"/>
      <c r="F800" s="7" t="n"/>
      <c r="G800" s="7" t="n"/>
      <c r="H800" s="3">
        <f>IFERROR(VLOOKUP(B800,Inventory!$A:$B,2,FALSE)*D800,0)</f>
        <v/>
      </c>
      <c r="I800" s="3">
        <f>IF(C800="",0,IFERROR(VLOOKUP(C800,Settings!$A$2:$F$5,2,FALSE)+(E800*D800+F800)*VLOOKUP(C800,Settings!$A$2:$F$5,3,FALSE)/100+(E800*D800+F800)*VLOOKUP(C800,Settings!$A$2:$F$5,4,FALSE)/100+VLOOKUP(C800,Settings!$A$2:$F$5,5,FALSE)+VLOOKUP(C800,Settings!$A$2:$F$5,6,FALSE),0))</f>
        <v/>
      </c>
      <c r="J800" s="3">
        <f>IF(B800="","",IF(ISNA(MATCH(B800,Inventory!$A$2:$A$201,0)),"Check product",E800*D800+F800-I800-G800-H800))</f>
        <v/>
      </c>
      <c r="K800" s="4">
        <f>IF(OR(B800="",NOT(ISNUMBER(J800)),E800*D800+F800=0),"",J800/(E800*D800+F800))</f>
        <v/>
      </c>
    </row>
    <row r="801">
      <c r="A801" s="8" t="n"/>
      <c r="B801" s="6" t="n"/>
      <c r="C801" s="6" t="n"/>
      <c r="D801" s="6" t="n"/>
      <c r="E801" s="7" t="n"/>
      <c r="F801" s="7" t="n"/>
      <c r="G801" s="7" t="n"/>
      <c r="H801" s="3">
        <f>IFERROR(VLOOKUP(B801,Inventory!$A:$B,2,FALSE)*D801,0)</f>
        <v/>
      </c>
      <c r="I801" s="3">
        <f>IF(C801="",0,IFERROR(VLOOKUP(C801,Settings!$A$2:$F$5,2,FALSE)+(E801*D801+F801)*VLOOKUP(C801,Settings!$A$2:$F$5,3,FALSE)/100+(E801*D801+F801)*VLOOKUP(C801,Settings!$A$2:$F$5,4,FALSE)/100+VLOOKUP(C801,Settings!$A$2:$F$5,5,FALSE)+VLOOKUP(C801,Settings!$A$2:$F$5,6,FALSE),0))</f>
        <v/>
      </c>
      <c r="J801" s="3">
        <f>IF(B801="","",IF(ISNA(MATCH(B801,Inventory!$A$2:$A$201,0)),"Check product",E801*D801+F801-I801-G801-H801))</f>
        <v/>
      </c>
      <c r="K801" s="4">
        <f>IF(OR(B801="",NOT(ISNUMBER(J801)),E801*D801+F801=0),"",J801/(E801*D801+F801))</f>
        <v/>
      </c>
    </row>
    <row r="802">
      <c r="A802" s="8" t="n"/>
      <c r="B802" s="6" t="n"/>
      <c r="C802" s="6" t="n"/>
      <c r="D802" s="6" t="n"/>
      <c r="E802" s="7" t="n"/>
      <c r="F802" s="7" t="n"/>
      <c r="G802" s="7" t="n"/>
      <c r="H802" s="3">
        <f>IFERROR(VLOOKUP(B802,Inventory!$A:$B,2,FALSE)*D802,0)</f>
        <v/>
      </c>
      <c r="I802" s="3">
        <f>IF(C802="",0,IFERROR(VLOOKUP(C802,Settings!$A$2:$F$5,2,FALSE)+(E802*D802+F802)*VLOOKUP(C802,Settings!$A$2:$F$5,3,FALSE)/100+(E802*D802+F802)*VLOOKUP(C802,Settings!$A$2:$F$5,4,FALSE)/100+VLOOKUP(C802,Settings!$A$2:$F$5,5,FALSE)+VLOOKUP(C802,Settings!$A$2:$F$5,6,FALSE),0))</f>
        <v/>
      </c>
      <c r="J802" s="3">
        <f>IF(B802="","",IF(ISNA(MATCH(B802,Inventory!$A$2:$A$201,0)),"Check product",E802*D802+F802-I802-G802-H802))</f>
        <v/>
      </c>
      <c r="K802" s="4">
        <f>IF(OR(B802="",NOT(ISNUMBER(J802)),E802*D802+F802=0),"",J802/(E802*D802+F802))</f>
        <v/>
      </c>
    </row>
    <row r="803">
      <c r="A803" s="8" t="n"/>
      <c r="B803" s="6" t="n"/>
      <c r="C803" s="6" t="n"/>
      <c r="D803" s="6" t="n"/>
      <c r="E803" s="7" t="n"/>
      <c r="F803" s="7" t="n"/>
      <c r="G803" s="7" t="n"/>
      <c r="H803" s="3">
        <f>IFERROR(VLOOKUP(B803,Inventory!$A:$B,2,FALSE)*D803,0)</f>
        <v/>
      </c>
      <c r="I803" s="3">
        <f>IF(C803="",0,IFERROR(VLOOKUP(C803,Settings!$A$2:$F$5,2,FALSE)+(E803*D803+F803)*VLOOKUP(C803,Settings!$A$2:$F$5,3,FALSE)/100+(E803*D803+F803)*VLOOKUP(C803,Settings!$A$2:$F$5,4,FALSE)/100+VLOOKUP(C803,Settings!$A$2:$F$5,5,FALSE)+VLOOKUP(C803,Settings!$A$2:$F$5,6,FALSE),0))</f>
        <v/>
      </c>
      <c r="J803" s="3">
        <f>IF(B803="","",IF(ISNA(MATCH(B803,Inventory!$A$2:$A$201,0)),"Check product",E803*D803+F803-I803-G803-H803))</f>
        <v/>
      </c>
      <c r="K803" s="4">
        <f>IF(OR(B803="",NOT(ISNUMBER(J803)),E803*D803+F803=0),"",J803/(E803*D803+F803))</f>
        <v/>
      </c>
    </row>
    <row r="804">
      <c r="A804" s="8" t="n"/>
      <c r="B804" s="6" t="n"/>
      <c r="C804" s="6" t="n"/>
      <c r="D804" s="6" t="n"/>
      <c r="E804" s="7" t="n"/>
      <c r="F804" s="7" t="n"/>
      <c r="G804" s="7" t="n"/>
      <c r="H804" s="3">
        <f>IFERROR(VLOOKUP(B804,Inventory!$A:$B,2,FALSE)*D804,0)</f>
        <v/>
      </c>
      <c r="I804" s="3">
        <f>IF(C804="",0,IFERROR(VLOOKUP(C804,Settings!$A$2:$F$5,2,FALSE)+(E804*D804+F804)*VLOOKUP(C804,Settings!$A$2:$F$5,3,FALSE)/100+(E804*D804+F804)*VLOOKUP(C804,Settings!$A$2:$F$5,4,FALSE)/100+VLOOKUP(C804,Settings!$A$2:$F$5,5,FALSE)+VLOOKUP(C804,Settings!$A$2:$F$5,6,FALSE),0))</f>
        <v/>
      </c>
      <c r="J804" s="3">
        <f>IF(B804="","",IF(ISNA(MATCH(B804,Inventory!$A$2:$A$201,0)),"Check product",E804*D804+F804-I804-G804-H804))</f>
        <v/>
      </c>
      <c r="K804" s="4">
        <f>IF(OR(B804="",NOT(ISNUMBER(J804)),E804*D804+F804=0),"",J804/(E804*D804+F804))</f>
        <v/>
      </c>
    </row>
    <row r="805">
      <c r="A805" s="8" t="n"/>
      <c r="B805" s="6" t="n"/>
      <c r="C805" s="6" t="n"/>
      <c r="D805" s="6" t="n"/>
      <c r="E805" s="7" t="n"/>
      <c r="F805" s="7" t="n"/>
      <c r="G805" s="7" t="n"/>
      <c r="H805" s="3">
        <f>IFERROR(VLOOKUP(B805,Inventory!$A:$B,2,FALSE)*D805,0)</f>
        <v/>
      </c>
      <c r="I805" s="3">
        <f>IF(C805="",0,IFERROR(VLOOKUP(C805,Settings!$A$2:$F$5,2,FALSE)+(E805*D805+F805)*VLOOKUP(C805,Settings!$A$2:$F$5,3,FALSE)/100+(E805*D805+F805)*VLOOKUP(C805,Settings!$A$2:$F$5,4,FALSE)/100+VLOOKUP(C805,Settings!$A$2:$F$5,5,FALSE)+VLOOKUP(C805,Settings!$A$2:$F$5,6,FALSE),0))</f>
        <v/>
      </c>
      <c r="J805" s="3">
        <f>IF(B805="","",IF(ISNA(MATCH(B805,Inventory!$A$2:$A$201,0)),"Check product",E805*D805+F805-I805-G805-H805))</f>
        <v/>
      </c>
      <c r="K805" s="4">
        <f>IF(OR(B805="",NOT(ISNUMBER(J805)),E805*D805+F805=0),"",J805/(E805*D805+F805))</f>
        <v/>
      </c>
    </row>
    <row r="806">
      <c r="A806" s="8" t="n"/>
      <c r="B806" s="6" t="n"/>
      <c r="C806" s="6" t="n"/>
      <c r="D806" s="6" t="n"/>
      <c r="E806" s="7" t="n"/>
      <c r="F806" s="7" t="n"/>
      <c r="G806" s="7" t="n"/>
      <c r="H806" s="3">
        <f>IFERROR(VLOOKUP(B806,Inventory!$A:$B,2,FALSE)*D806,0)</f>
        <v/>
      </c>
      <c r="I806" s="3">
        <f>IF(C806="",0,IFERROR(VLOOKUP(C806,Settings!$A$2:$F$5,2,FALSE)+(E806*D806+F806)*VLOOKUP(C806,Settings!$A$2:$F$5,3,FALSE)/100+(E806*D806+F806)*VLOOKUP(C806,Settings!$A$2:$F$5,4,FALSE)/100+VLOOKUP(C806,Settings!$A$2:$F$5,5,FALSE)+VLOOKUP(C806,Settings!$A$2:$F$5,6,FALSE),0))</f>
        <v/>
      </c>
      <c r="J806" s="3">
        <f>IF(B806="","",IF(ISNA(MATCH(B806,Inventory!$A$2:$A$201,0)),"Check product",E806*D806+F806-I806-G806-H806))</f>
        <v/>
      </c>
      <c r="K806" s="4">
        <f>IF(OR(B806="",NOT(ISNUMBER(J806)),E806*D806+F806=0),"",J806/(E806*D806+F806))</f>
        <v/>
      </c>
    </row>
    <row r="807">
      <c r="A807" s="8" t="n"/>
      <c r="B807" s="6" t="n"/>
      <c r="C807" s="6" t="n"/>
      <c r="D807" s="6" t="n"/>
      <c r="E807" s="7" t="n"/>
      <c r="F807" s="7" t="n"/>
      <c r="G807" s="7" t="n"/>
      <c r="H807" s="3">
        <f>IFERROR(VLOOKUP(B807,Inventory!$A:$B,2,FALSE)*D807,0)</f>
        <v/>
      </c>
      <c r="I807" s="3">
        <f>IF(C807="",0,IFERROR(VLOOKUP(C807,Settings!$A$2:$F$5,2,FALSE)+(E807*D807+F807)*VLOOKUP(C807,Settings!$A$2:$F$5,3,FALSE)/100+(E807*D807+F807)*VLOOKUP(C807,Settings!$A$2:$F$5,4,FALSE)/100+VLOOKUP(C807,Settings!$A$2:$F$5,5,FALSE)+VLOOKUP(C807,Settings!$A$2:$F$5,6,FALSE),0))</f>
        <v/>
      </c>
      <c r="J807" s="3">
        <f>IF(B807="","",IF(ISNA(MATCH(B807,Inventory!$A$2:$A$201,0)),"Check product",E807*D807+F807-I807-G807-H807))</f>
        <v/>
      </c>
      <c r="K807" s="4">
        <f>IF(OR(B807="",NOT(ISNUMBER(J807)),E807*D807+F807=0),"",J807/(E807*D807+F807))</f>
        <v/>
      </c>
    </row>
    <row r="808">
      <c r="A808" s="8" t="n"/>
      <c r="B808" s="6" t="n"/>
      <c r="C808" s="6" t="n"/>
      <c r="D808" s="6" t="n"/>
      <c r="E808" s="7" t="n"/>
      <c r="F808" s="7" t="n"/>
      <c r="G808" s="7" t="n"/>
      <c r="H808" s="3">
        <f>IFERROR(VLOOKUP(B808,Inventory!$A:$B,2,FALSE)*D808,0)</f>
        <v/>
      </c>
      <c r="I808" s="3">
        <f>IF(C808="",0,IFERROR(VLOOKUP(C808,Settings!$A$2:$F$5,2,FALSE)+(E808*D808+F808)*VLOOKUP(C808,Settings!$A$2:$F$5,3,FALSE)/100+(E808*D808+F808)*VLOOKUP(C808,Settings!$A$2:$F$5,4,FALSE)/100+VLOOKUP(C808,Settings!$A$2:$F$5,5,FALSE)+VLOOKUP(C808,Settings!$A$2:$F$5,6,FALSE),0))</f>
        <v/>
      </c>
      <c r="J808" s="3">
        <f>IF(B808="","",IF(ISNA(MATCH(B808,Inventory!$A$2:$A$201,0)),"Check product",E808*D808+F808-I808-G808-H808))</f>
        <v/>
      </c>
      <c r="K808" s="4">
        <f>IF(OR(B808="",NOT(ISNUMBER(J808)),E808*D808+F808=0),"",J808/(E808*D808+F808))</f>
        <v/>
      </c>
    </row>
    <row r="809">
      <c r="A809" s="8" t="n"/>
      <c r="B809" s="6" t="n"/>
      <c r="C809" s="6" t="n"/>
      <c r="D809" s="6" t="n"/>
      <c r="E809" s="7" t="n"/>
      <c r="F809" s="7" t="n"/>
      <c r="G809" s="7" t="n"/>
      <c r="H809" s="3">
        <f>IFERROR(VLOOKUP(B809,Inventory!$A:$B,2,FALSE)*D809,0)</f>
        <v/>
      </c>
      <c r="I809" s="3">
        <f>IF(C809="",0,IFERROR(VLOOKUP(C809,Settings!$A$2:$F$5,2,FALSE)+(E809*D809+F809)*VLOOKUP(C809,Settings!$A$2:$F$5,3,FALSE)/100+(E809*D809+F809)*VLOOKUP(C809,Settings!$A$2:$F$5,4,FALSE)/100+VLOOKUP(C809,Settings!$A$2:$F$5,5,FALSE)+VLOOKUP(C809,Settings!$A$2:$F$5,6,FALSE),0))</f>
        <v/>
      </c>
      <c r="J809" s="3">
        <f>IF(B809="","",IF(ISNA(MATCH(B809,Inventory!$A$2:$A$201,0)),"Check product",E809*D809+F809-I809-G809-H809))</f>
        <v/>
      </c>
      <c r="K809" s="4">
        <f>IF(OR(B809="",NOT(ISNUMBER(J809)),E809*D809+F809=0),"",J809/(E809*D809+F809))</f>
        <v/>
      </c>
    </row>
    <row r="810">
      <c r="A810" s="8" t="n"/>
      <c r="B810" s="6" t="n"/>
      <c r="C810" s="6" t="n"/>
      <c r="D810" s="6" t="n"/>
      <c r="E810" s="7" t="n"/>
      <c r="F810" s="7" t="n"/>
      <c r="G810" s="7" t="n"/>
      <c r="H810" s="3">
        <f>IFERROR(VLOOKUP(B810,Inventory!$A:$B,2,FALSE)*D810,0)</f>
        <v/>
      </c>
      <c r="I810" s="3">
        <f>IF(C810="",0,IFERROR(VLOOKUP(C810,Settings!$A$2:$F$5,2,FALSE)+(E810*D810+F810)*VLOOKUP(C810,Settings!$A$2:$F$5,3,FALSE)/100+(E810*D810+F810)*VLOOKUP(C810,Settings!$A$2:$F$5,4,FALSE)/100+VLOOKUP(C810,Settings!$A$2:$F$5,5,FALSE)+VLOOKUP(C810,Settings!$A$2:$F$5,6,FALSE),0))</f>
        <v/>
      </c>
      <c r="J810" s="3">
        <f>IF(B810="","",IF(ISNA(MATCH(B810,Inventory!$A$2:$A$201,0)),"Check product",E810*D810+F810-I810-G810-H810))</f>
        <v/>
      </c>
      <c r="K810" s="4">
        <f>IF(OR(B810="",NOT(ISNUMBER(J810)),E810*D810+F810=0),"",J810/(E810*D810+F810))</f>
        <v/>
      </c>
    </row>
    <row r="811">
      <c r="A811" s="8" t="n"/>
      <c r="B811" s="6" t="n"/>
      <c r="C811" s="6" t="n"/>
      <c r="D811" s="6" t="n"/>
      <c r="E811" s="7" t="n"/>
      <c r="F811" s="7" t="n"/>
      <c r="G811" s="7" t="n"/>
      <c r="H811" s="3">
        <f>IFERROR(VLOOKUP(B811,Inventory!$A:$B,2,FALSE)*D811,0)</f>
        <v/>
      </c>
      <c r="I811" s="3">
        <f>IF(C811="",0,IFERROR(VLOOKUP(C811,Settings!$A$2:$F$5,2,FALSE)+(E811*D811+F811)*VLOOKUP(C811,Settings!$A$2:$F$5,3,FALSE)/100+(E811*D811+F811)*VLOOKUP(C811,Settings!$A$2:$F$5,4,FALSE)/100+VLOOKUP(C811,Settings!$A$2:$F$5,5,FALSE)+VLOOKUP(C811,Settings!$A$2:$F$5,6,FALSE),0))</f>
        <v/>
      </c>
      <c r="J811" s="3">
        <f>IF(B811="","",IF(ISNA(MATCH(B811,Inventory!$A$2:$A$201,0)),"Check product",E811*D811+F811-I811-G811-H811))</f>
        <v/>
      </c>
      <c r="K811" s="4">
        <f>IF(OR(B811="",NOT(ISNUMBER(J811)),E811*D811+F811=0),"",J811/(E811*D811+F811))</f>
        <v/>
      </c>
    </row>
    <row r="812">
      <c r="A812" s="8" t="n"/>
      <c r="B812" s="6" t="n"/>
      <c r="C812" s="6" t="n"/>
      <c r="D812" s="6" t="n"/>
      <c r="E812" s="7" t="n"/>
      <c r="F812" s="7" t="n"/>
      <c r="G812" s="7" t="n"/>
      <c r="H812" s="3">
        <f>IFERROR(VLOOKUP(B812,Inventory!$A:$B,2,FALSE)*D812,0)</f>
        <v/>
      </c>
      <c r="I812" s="3">
        <f>IF(C812="",0,IFERROR(VLOOKUP(C812,Settings!$A$2:$F$5,2,FALSE)+(E812*D812+F812)*VLOOKUP(C812,Settings!$A$2:$F$5,3,FALSE)/100+(E812*D812+F812)*VLOOKUP(C812,Settings!$A$2:$F$5,4,FALSE)/100+VLOOKUP(C812,Settings!$A$2:$F$5,5,FALSE)+VLOOKUP(C812,Settings!$A$2:$F$5,6,FALSE),0))</f>
        <v/>
      </c>
      <c r="J812" s="3">
        <f>IF(B812="","",IF(ISNA(MATCH(B812,Inventory!$A$2:$A$201,0)),"Check product",E812*D812+F812-I812-G812-H812))</f>
        <v/>
      </c>
      <c r="K812" s="4">
        <f>IF(OR(B812="",NOT(ISNUMBER(J812)),E812*D812+F812=0),"",J812/(E812*D812+F812))</f>
        <v/>
      </c>
    </row>
    <row r="813">
      <c r="A813" s="8" t="n"/>
      <c r="B813" s="6" t="n"/>
      <c r="C813" s="6" t="n"/>
      <c r="D813" s="6" t="n"/>
      <c r="E813" s="7" t="n"/>
      <c r="F813" s="7" t="n"/>
      <c r="G813" s="7" t="n"/>
      <c r="H813" s="3">
        <f>IFERROR(VLOOKUP(B813,Inventory!$A:$B,2,FALSE)*D813,0)</f>
        <v/>
      </c>
      <c r="I813" s="3">
        <f>IF(C813="",0,IFERROR(VLOOKUP(C813,Settings!$A$2:$F$5,2,FALSE)+(E813*D813+F813)*VLOOKUP(C813,Settings!$A$2:$F$5,3,FALSE)/100+(E813*D813+F813)*VLOOKUP(C813,Settings!$A$2:$F$5,4,FALSE)/100+VLOOKUP(C813,Settings!$A$2:$F$5,5,FALSE)+VLOOKUP(C813,Settings!$A$2:$F$5,6,FALSE),0))</f>
        <v/>
      </c>
      <c r="J813" s="3">
        <f>IF(B813="","",IF(ISNA(MATCH(B813,Inventory!$A$2:$A$201,0)),"Check product",E813*D813+F813-I813-G813-H813))</f>
        <v/>
      </c>
      <c r="K813" s="4">
        <f>IF(OR(B813="",NOT(ISNUMBER(J813)),E813*D813+F813=0),"",J813/(E813*D813+F813))</f>
        <v/>
      </c>
    </row>
    <row r="814">
      <c r="A814" s="8" t="n"/>
      <c r="B814" s="6" t="n"/>
      <c r="C814" s="6" t="n"/>
      <c r="D814" s="6" t="n"/>
      <c r="E814" s="7" t="n"/>
      <c r="F814" s="7" t="n"/>
      <c r="G814" s="7" t="n"/>
      <c r="H814" s="3">
        <f>IFERROR(VLOOKUP(B814,Inventory!$A:$B,2,FALSE)*D814,0)</f>
        <v/>
      </c>
      <c r="I814" s="3">
        <f>IF(C814="",0,IFERROR(VLOOKUP(C814,Settings!$A$2:$F$5,2,FALSE)+(E814*D814+F814)*VLOOKUP(C814,Settings!$A$2:$F$5,3,FALSE)/100+(E814*D814+F814)*VLOOKUP(C814,Settings!$A$2:$F$5,4,FALSE)/100+VLOOKUP(C814,Settings!$A$2:$F$5,5,FALSE)+VLOOKUP(C814,Settings!$A$2:$F$5,6,FALSE),0))</f>
        <v/>
      </c>
      <c r="J814" s="3">
        <f>IF(B814="","",IF(ISNA(MATCH(B814,Inventory!$A$2:$A$201,0)),"Check product",E814*D814+F814-I814-G814-H814))</f>
        <v/>
      </c>
      <c r="K814" s="4">
        <f>IF(OR(B814="",NOT(ISNUMBER(J814)),E814*D814+F814=0),"",J814/(E814*D814+F814))</f>
        <v/>
      </c>
    </row>
    <row r="815">
      <c r="A815" s="8" t="n"/>
      <c r="B815" s="6" t="n"/>
      <c r="C815" s="6" t="n"/>
      <c r="D815" s="6" t="n"/>
      <c r="E815" s="7" t="n"/>
      <c r="F815" s="7" t="n"/>
      <c r="G815" s="7" t="n"/>
      <c r="H815" s="3">
        <f>IFERROR(VLOOKUP(B815,Inventory!$A:$B,2,FALSE)*D815,0)</f>
        <v/>
      </c>
      <c r="I815" s="3">
        <f>IF(C815="",0,IFERROR(VLOOKUP(C815,Settings!$A$2:$F$5,2,FALSE)+(E815*D815+F815)*VLOOKUP(C815,Settings!$A$2:$F$5,3,FALSE)/100+(E815*D815+F815)*VLOOKUP(C815,Settings!$A$2:$F$5,4,FALSE)/100+VLOOKUP(C815,Settings!$A$2:$F$5,5,FALSE)+VLOOKUP(C815,Settings!$A$2:$F$5,6,FALSE),0))</f>
        <v/>
      </c>
      <c r="J815" s="3">
        <f>IF(B815="","",IF(ISNA(MATCH(B815,Inventory!$A$2:$A$201,0)),"Check product",E815*D815+F815-I815-G815-H815))</f>
        <v/>
      </c>
      <c r="K815" s="4">
        <f>IF(OR(B815="",NOT(ISNUMBER(J815)),E815*D815+F815=0),"",J815/(E815*D815+F815))</f>
        <v/>
      </c>
    </row>
    <row r="816">
      <c r="A816" s="8" t="n"/>
      <c r="B816" s="6" t="n"/>
      <c r="C816" s="6" t="n"/>
      <c r="D816" s="6" t="n"/>
      <c r="E816" s="7" t="n"/>
      <c r="F816" s="7" t="n"/>
      <c r="G816" s="7" t="n"/>
      <c r="H816" s="3">
        <f>IFERROR(VLOOKUP(B816,Inventory!$A:$B,2,FALSE)*D816,0)</f>
        <v/>
      </c>
      <c r="I816" s="3">
        <f>IF(C816="",0,IFERROR(VLOOKUP(C816,Settings!$A$2:$F$5,2,FALSE)+(E816*D816+F816)*VLOOKUP(C816,Settings!$A$2:$F$5,3,FALSE)/100+(E816*D816+F816)*VLOOKUP(C816,Settings!$A$2:$F$5,4,FALSE)/100+VLOOKUP(C816,Settings!$A$2:$F$5,5,FALSE)+VLOOKUP(C816,Settings!$A$2:$F$5,6,FALSE),0))</f>
        <v/>
      </c>
      <c r="J816" s="3">
        <f>IF(B816="","",IF(ISNA(MATCH(B816,Inventory!$A$2:$A$201,0)),"Check product",E816*D816+F816-I816-G816-H816))</f>
        <v/>
      </c>
      <c r="K816" s="4">
        <f>IF(OR(B816="",NOT(ISNUMBER(J816)),E816*D816+F816=0),"",J816/(E816*D816+F816))</f>
        <v/>
      </c>
    </row>
    <row r="817">
      <c r="A817" s="8" t="n"/>
      <c r="B817" s="6" t="n"/>
      <c r="C817" s="6" t="n"/>
      <c r="D817" s="6" t="n"/>
      <c r="E817" s="7" t="n"/>
      <c r="F817" s="7" t="n"/>
      <c r="G817" s="7" t="n"/>
      <c r="H817" s="3">
        <f>IFERROR(VLOOKUP(B817,Inventory!$A:$B,2,FALSE)*D817,0)</f>
        <v/>
      </c>
      <c r="I817" s="3">
        <f>IF(C817="",0,IFERROR(VLOOKUP(C817,Settings!$A$2:$F$5,2,FALSE)+(E817*D817+F817)*VLOOKUP(C817,Settings!$A$2:$F$5,3,FALSE)/100+(E817*D817+F817)*VLOOKUP(C817,Settings!$A$2:$F$5,4,FALSE)/100+VLOOKUP(C817,Settings!$A$2:$F$5,5,FALSE)+VLOOKUP(C817,Settings!$A$2:$F$5,6,FALSE),0))</f>
        <v/>
      </c>
      <c r="J817" s="3">
        <f>IF(B817="","",IF(ISNA(MATCH(B817,Inventory!$A$2:$A$201,0)),"Check product",E817*D817+F817-I817-G817-H817))</f>
        <v/>
      </c>
      <c r="K817" s="4">
        <f>IF(OR(B817="",NOT(ISNUMBER(J817)),E817*D817+F817=0),"",J817/(E817*D817+F817))</f>
        <v/>
      </c>
    </row>
    <row r="818">
      <c r="A818" s="8" t="n"/>
      <c r="B818" s="6" t="n"/>
      <c r="C818" s="6" t="n"/>
      <c r="D818" s="6" t="n"/>
      <c r="E818" s="7" t="n"/>
      <c r="F818" s="7" t="n"/>
      <c r="G818" s="7" t="n"/>
      <c r="H818" s="3">
        <f>IFERROR(VLOOKUP(B818,Inventory!$A:$B,2,FALSE)*D818,0)</f>
        <v/>
      </c>
      <c r="I818" s="3">
        <f>IF(C818="",0,IFERROR(VLOOKUP(C818,Settings!$A$2:$F$5,2,FALSE)+(E818*D818+F818)*VLOOKUP(C818,Settings!$A$2:$F$5,3,FALSE)/100+(E818*D818+F818)*VLOOKUP(C818,Settings!$A$2:$F$5,4,FALSE)/100+VLOOKUP(C818,Settings!$A$2:$F$5,5,FALSE)+VLOOKUP(C818,Settings!$A$2:$F$5,6,FALSE),0))</f>
        <v/>
      </c>
      <c r="J818" s="3">
        <f>IF(B818="","",IF(ISNA(MATCH(B818,Inventory!$A$2:$A$201,0)),"Check product",E818*D818+F818-I818-G818-H818))</f>
        <v/>
      </c>
      <c r="K818" s="4">
        <f>IF(OR(B818="",NOT(ISNUMBER(J818)),E818*D818+F818=0),"",J818/(E818*D818+F818))</f>
        <v/>
      </c>
    </row>
    <row r="819">
      <c r="A819" s="8" t="n"/>
      <c r="B819" s="6" t="n"/>
      <c r="C819" s="6" t="n"/>
      <c r="D819" s="6" t="n"/>
      <c r="E819" s="7" t="n"/>
      <c r="F819" s="7" t="n"/>
      <c r="G819" s="7" t="n"/>
      <c r="H819" s="3">
        <f>IFERROR(VLOOKUP(B819,Inventory!$A:$B,2,FALSE)*D819,0)</f>
        <v/>
      </c>
      <c r="I819" s="3">
        <f>IF(C819="",0,IFERROR(VLOOKUP(C819,Settings!$A$2:$F$5,2,FALSE)+(E819*D819+F819)*VLOOKUP(C819,Settings!$A$2:$F$5,3,FALSE)/100+(E819*D819+F819)*VLOOKUP(C819,Settings!$A$2:$F$5,4,FALSE)/100+VLOOKUP(C819,Settings!$A$2:$F$5,5,FALSE)+VLOOKUP(C819,Settings!$A$2:$F$5,6,FALSE),0))</f>
        <v/>
      </c>
      <c r="J819" s="3">
        <f>IF(B819="","",IF(ISNA(MATCH(B819,Inventory!$A$2:$A$201,0)),"Check product",E819*D819+F819-I819-G819-H819))</f>
        <v/>
      </c>
      <c r="K819" s="4">
        <f>IF(OR(B819="",NOT(ISNUMBER(J819)),E819*D819+F819=0),"",J819/(E819*D819+F819))</f>
        <v/>
      </c>
    </row>
    <row r="820">
      <c r="A820" s="8" t="n"/>
      <c r="B820" s="6" t="n"/>
      <c r="C820" s="6" t="n"/>
      <c r="D820" s="6" t="n"/>
      <c r="E820" s="7" t="n"/>
      <c r="F820" s="7" t="n"/>
      <c r="G820" s="7" t="n"/>
      <c r="H820" s="3">
        <f>IFERROR(VLOOKUP(B820,Inventory!$A:$B,2,FALSE)*D820,0)</f>
        <v/>
      </c>
      <c r="I820" s="3">
        <f>IF(C820="",0,IFERROR(VLOOKUP(C820,Settings!$A$2:$F$5,2,FALSE)+(E820*D820+F820)*VLOOKUP(C820,Settings!$A$2:$F$5,3,FALSE)/100+(E820*D820+F820)*VLOOKUP(C820,Settings!$A$2:$F$5,4,FALSE)/100+VLOOKUP(C820,Settings!$A$2:$F$5,5,FALSE)+VLOOKUP(C820,Settings!$A$2:$F$5,6,FALSE),0))</f>
        <v/>
      </c>
      <c r="J820" s="3">
        <f>IF(B820="","",IF(ISNA(MATCH(B820,Inventory!$A$2:$A$201,0)),"Check product",E820*D820+F820-I820-G820-H820))</f>
        <v/>
      </c>
      <c r="K820" s="4">
        <f>IF(OR(B820="",NOT(ISNUMBER(J820)),E820*D820+F820=0),"",J820/(E820*D820+F820))</f>
        <v/>
      </c>
    </row>
    <row r="821">
      <c r="A821" s="8" t="n"/>
      <c r="B821" s="6" t="n"/>
      <c r="C821" s="6" t="n"/>
      <c r="D821" s="6" t="n"/>
      <c r="E821" s="7" t="n"/>
      <c r="F821" s="7" t="n"/>
      <c r="G821" s="7" t="n"/>
      <c r="H821" s="3">
        <f>IFERROR(VLOOKUP(B821,Inventory!$A:$B,2,FALSE)*D821,0)</f>
        <v/>
      </c>
      <c r="I821" s="3">
        <f>IF(C821="",0,IFERROR(VLOOKUP(C821,Settings!$A$2:$F$5,2,FALSE)+(E821*D821+F821)*VLOOKUP(C821,Settings!$A$2:$F$5,3,FALSE)/100+(E821*D821+F821)*VLOOKUP(C821,Settings!$A$2:$F$5,4,FALSE)/100+VLOOKUP(C821,Settings!$A$2:$F$5,5,FALSE)+VLOOKUP(C821,Settings!$A$2:$F$5,6,FALSE),0))</f>
        <v/>
      </c>
      <c r="J821" s="3">
        <f>IF(B821="","",IF(ISNA(MATCH(B821,Inventory!$A$2:$A$201,0)),"Check product",E821*D821+F821-I821-G821-H821))</f>
        <v/>
      </c>
      <c r="K821" s="4">
        <f>IF(OR(B821="",NOT(ISNUMBER(J821)),E821*D821+F821=0),"",J821/(E821*D821+F821))</f>
        <v/>
      </c>
    </row>
    <row r="822">
      <c r="A822" s="8" t="n"/>
      <c r="B822" s="6" t="n"/>
      <c r="C822" s="6" t="n"/>
      <c r="D822" s="6" t="n"/>
      <c r="E822" s="7" t="n"/>
      <c r="F822" s="7" t="n"/>
      <c r="G822" s="7" t="n"/>
      <c r="H822" s="3">
        <f>IFERROR(VLOOKUP(B822,Inventory!$A:$B,2,FALSE)*D822,0)</f>
        <v/>
      </c>
      <c r="I822" s="3">
        <f>IF(C822="",0,IFERROR(VLOOKUP(C822,Settings!$A$2:$F$5,2,FALSE)+(E822*D822+F822)*VLOOKUP(C822,Settings!$A$2:$F$5,3,FALSE)/100+(E822*D822+F822)*VLOOKUP(C822,Settings!$A$2:$F$5,4,FALSE)/100+VLOOKUP(C822,Settings!$A$2:$F$5,5,FALSE)+VLOOKUP(C822,Settings!$A$2:$F$5,6,FALSE),0))</f>
        <v/>
      </c>
      <c r="J822" s="3">
        <f>IF(B822="","",IF(ISNA(MATCH(B822,Inventory!$A$2:$A$201,0)),"Check product",E822*D822+F822-I822-G822-H822))</f>
        <v/>
      </c>
      <c r="K822" s="4">
        <f>IF(OR(B822="",NOT(ISNUMBER(J822)),E822*D822+F822=0),"",J822/(E822*D822+F822))</f>
        <v/>
      </c>
    </row>
    <row r="823">
      <c r="A823" s="8" t="n"/>
      <c r="B823" s="6" t="n"/>
      <c r="C823" s="6" t="n"/>
      <c r="D823" s="6" t="n"/>
      <c r="E823" s="7" t="n"/>
      <c r="F823" s="7" t="n"/>
      <c r="G823" s="7" t="n"/>
      <c r="H823" s="3">
        <f>IFERROR(VLOOKUP(B823,Inventory!$A:$B,2,FALSE)*D823,0)</f>
        <v/>
      </c>
      <c r="I823" s="3">
        <f>IF(C823="",0,IFERROR(VLOOKUP(C823,Settings!$A$2:$F$5,2,FALSE)+(E823*D823+F823)*VLOOKUP(C823,Settings!$A$2:$F$5,3,FALSE)/100+(E823*D823+F823)*VLOOKUP(C823,Settings!$A$2:$F$5,4,FALSE)/100+VLOOKUP(C823,Settings!$A$2:$F$5,5,FALSE)+VLOOKUP(C823,Settings!$A$2:$F$5,6,FALSE),0))</f>
        <v/>
      </c>
      <c r="J823" s="3">
        <f>IF(B823="","",IF(ISNA(MATCH(B823,Inventory!$A$2:$A$201,0)),"Check product",E823*D823+F823-I823-G823-H823))</f>
        <v/>
      </c>
      <c r="K823" s="4">
        <f>IF(OR(B823="",NOT(ISNUMBER(J823)),E823*D823+F823=0),"",J823/(E823*D823+F823))</f>
        <v/>
      </c>
    </row>
    <row r="824">
      <c r="A824" s="8" t="n"/>
      <c r="B824" s="6" t="n"/>
      <c r="C824" s="6" t="n"/>
      <c r="D824" s="6" t="n"/>
      <c r="E824" s="7" t="n"/>
      <c r="F824" s="7" t="n"/>
      <c r="G824" s="7" t="n"/>
      <c r="H824" s="3">
        <f>IFERROR(VLOOKUP(B824,Inventory!$A:$B,2,FALSE)*D824,0)</f>
        <v/>
      </c>
      <c r="I824" s="3">
        <f>IF(C824="",0,IFERROR(VLOOKUP(C824,Settings!$A$2:$F$5,2,FALSE)+(E824*D824+F824)*VLOOKUP(C824,Settings!$A$2:$F$5,3,FALSE)/100+(E824*D824+F824)*VLOOKUP(C824,Settings!$A$2:$F$5,4,FALSE)/100+VLOOKUP(C824,Settings!$A$2:$F$5,5,FALSE)+VLOOKUP(C824,Settings!$A$2:$F$5,6,FALSE),0))</f>
        <v/>
      </c>
      <c r="J824" s="3">
        <f>IF(B824="","",IF(ISNA(MATCH(B824,Inventory!$A$2:$A$201,0)),"Check product",E824*D824+F824-I824-G824-H824))</f>
        <v/>
      </c>
      <c r="K824" s="4">
        <f>IF(OR(B824="",NOT(ISNUMBER(J824)),E824*D824+F824=0),"",J824/(E824*D824+F824))</f>
        <v/>
      </c>
    </row>
    <row r="825">
      <c r="A825" s="8" t="n"/>
      <c r="B825" s="6" t="n"/>
      <c r="C825" s="6" t="n"/>
      <c r="D825" s="6" t="n"/>
      <c r="E825" s="7" t="n"/>
      <c r="F825" s="7" t="n"/>
      <c r="G825" s="7" t="n"/>
      <c r="H825" s="3">
        <f>IFERROR(VLOOKUP(B825,Inventory!$A:$B,2,FALSE)*D825,0)</f>
        <v/>
      </c>
      <c r="I825" s="3">
        <f>IF(C825="",0,IFERROR(VLOOKUP(C825,Settings!$A$2:$F$5,2,FALSE)+(E825*D825+F825)*VLOOKUP(C825,Settings!$A$2:$F$5,3,FALSE)/100+(E825*D825+F825)*VLOOKUP(C825,Settings!$A$2:$F$5,4,FALSE)/100+VLOOKUP(C825,Settings!$A$2:$F$5,5,FALSE)+VLOOKUP(C825,Settings!$A$2:$F$5,6,FALSE),0))</f>
        <v/>
      </c>
      <c r="J825" s="3">
        <f>IF(B825="","",IF(ISNA(MATCH(B825,Inventory!$A$2:$A$201,0)),"Check product",E825*D825+F825-I825-G825-H825))</f>
        <v/>
      </c>
      <c r="K825" s="4">
        <f>IF(OR(B825="",NOT(ISNUMBER(J825)),E825*D825+F825=0),"",J825/(E825*D825+F825))</f>
        <v/>
      </c>
    </row>
    <row r="826">
      <c r="A826" s="8" t="n"/>
      <c r="B826" s="6" t="n"/>
      <c r="C826" s="6" t="n"/>
      <c r="D826" s="6" t="n"/>
      <c r="E826" s="7" t="n"/>
      <c r="F826" s="7" t="n"/>
      <c r="G826" s="7" t="n"/>
      <c r="H826" s="3">
        <f>IFERROR(VLOOKUP(B826,Inventory!$A:$B,2,FALSE)*D826,0)</f>
        <v/>
      </c>
      <c r="I826" s="3">
        <f>IF(C826="",0,IFERROR(VLOOKUP(C826,Settings!$A$2:$F$5,2,FALSE)+(E826*D826+F826)*VLOOKUP(C826,Settings!$A$2:$F$5,3,FALSE)/100+(E826*D826+F826)*VLOOKUP(C826,Settings!$A$2:$F$5,4,FALSE)/100+VLOOKUP(C826,Settings!$A$2:$F$5,5,FALSE)+VLOOKUP(C826,Settings!$A$2:$F$5,6,FALSE),0))</f>
        <v/>
      </c>
      <c r="J826" s="3">
        <f>IF(B826="","",IF(ISNA(MATCH(B826,Inventory!$A$2:$A$201,0)),"Check product",E826*D826+F826-I826-G826-H826))</f>
        <v/>
      </c>
      <c r="K826" s="4">
        <f>IF(OR(B826="",NOT(ISNUMBER(J826)),E826*D826+F826=0),"",J826/(E826*D826+F826))</f>
        <v/>
      </c>
    </row>
    <row r="827">
      <c r="A827" s="8" t="n"/>
      <c r="B827" s="6" t="n"/>
      <c r="C827" s="6" t="n"/>
      <c r="D827" s="6" t="n"/>
      <c r="E827" s="7" t="n"/>
      <c r="F827" s="7" t="n"/>
      <c r="G827" s="7" t="n"/>
      <c r="H827" s="3">
        <f>IFERROR(VLOOKUP(B827,Inventory!$A:$B,2,FALSE)*D827,0)</f>
        <v/>
      </c>
      <c r="I827" s="3">
        <f>IF(C827="",0,IFERROR(VLOOKUP(C827,Settings!$A$2:$F$5,2,FALSE)+(E827*D827+F827)*VLOOKUP(C827,Settings!$A$2:$F$5,3,FALSE)/100+(E827*D827+F827)*VLOOKUP(C827,Settings!$A$2:$F$5,4,FALSE)/100+VLOOKUP(C827,Settings!$A$2:$F$5,5,FALSE)+VLOOKUP(C827,Settings!$A$2:$F$5,6,FALSE),0))</f>
        <v/>
      </c>
      <c r="J827" s="3">
        <f>IF(B827="","",IF(ISNA(MATCH(B827,Inventory!$A$2:$A$201,0)),"Check product",E827*D827+F827-I827-G827-H827))</f>
        <v/>
      </c>
      <c r="K827" s="4">
        <f>IF(OR(B827="",NOT(ISNUMBER(J827)),E827*D827+F827=0),"",J827/(E827*D827+F827))</f>
        <v/>
      </c>
    </row>
    <row r="828">
      <c r="A828" s="8" t="n"/>
      <c r="B828" s="6" t="n"/>
      <c r="C828" s="6" t="n"/>
      <c r="D828" s="6" t="n"/>
      <c r="E828" s="7" t="n"/>
      <c r="F828" s="7" t="n"/>
      <c r="G828" s="7" t="n"/>
      <c r="H828" s="3">
        <f>IFERROR(VLOOKUP(B828,Inventory!$A:$B,2,FALSE)*D828,0)</f>
        <v/>
      </c>
      <c r="I828" s="3">
        <f>IF(C828="",0,IFERROR(VLOOKUP(C828,Settings!$A$2:$F$5,2,FALSE)+(E828*D828+F828)*VLOOKUP(C828,Settings!$A$2:$F$5,3,FALSE)/100+(E828*D828+F828)*VLOOKUP(C828,Settings!$A$2:$F$5,4,FALSE)/100+VLOOKUP(C828,Settings!$A$2:$F$5,5,FALSE)+VLOOKUP(C828,Settings!$A$2:$F$5,6,FALSE),0))</f>
        <v/>
      </c>
      <c r="J828" s="3">
        <f>IF(B828="","",IF(ISNA(MATCH(B828,Inventory!$A$2:$A$201,0)),"Check product",E828*D828+F828-I828-G828-H828))</f>
        <v/>
      </c>
      <c r="K828" s="4">
        <f>IF(OR(B828="",NOT(ISNUMBER(J828)),E828*D828+F828=0),"",J828/(E828*D828+F828))</f>
        <v/>
      </c>
    </row>
    <row r="829">
      <c r="A829" s="8" t="n"/>
      <c r="B829" s="6" t="n"/>
      <c r="C829" s="6" t="n"/>
      <c r="D829" s="6" t="n"/>
      <c r="E829" s="7" t="n"/>
      <c r="F829" s="7" t="n"/>
      <c r="G829" s="7" t="n"/>
      <c r="H829" s="3">
        <f>IFERROR(VLOOKUP(B829,Inventory!$A:$B,2,FALSE)*D829,0)</f>
        <v/>
      </c>
      <c r="I829" s="3">
        <f>IF(C829="",0,IFERROR(VLOOKUP(C829,Settings!$A$2:$F$5,2,FALSE)+(E829*D829+F829)*VLOOKUP(C829,Settings!$A$2:$F$5,3,FALSE)/100+(E829*D829+F829)*VLOOKUP(C829,Settings!$A$2:$F$5,4,FALSE)/100+VLOOKUP(C829,Settings!$A$2:$F$5,5,FALSE)+VLOOKUP(C829,Settings!$A$2:$F$5,6,FALSE),0))</f>
        <v/>
      </c>
      <c r="J829" s="3">
        <f>IF(B829="","",IF(ISNA(MATCH(B829,Inventory!$A$2:$A$201,0)),"Check product",E829*D829+F829-I829-G829-H829))</f>
        <v/>
      </c>
      <c r="K829" s="4">
        <f>IF(OR(B829="",NOT(ISNUMBER(J829)),E829*D829+F829=0),"",J829/(E829*D829+F829))</f>
        <v/>
      </c>
    </row>
    <row r="830">
      <c r="A830" s="8" t="n"/>
      <c r="B830" s="6" t="n"/>
      <c r="C830" s="6" t="n"/>
      <c r="D830" s="6" t="n"/>
      <c r="E830" s="7" t="n"/>
      <c r="F830" s="7" t="n"/>
      <c r="G830" s="7" t="n"/>
      <c r="H830" s="3">
        <f>IFERROR(VLOOKUP(B830,Inventory!$A:$B,2,FALSE)*D830,0)</f>
        <v/>
      </c>
      <c r="I830" s="3">
        <f>IF(C830="",0,IFERROR(VLOOKUP(C830,Settings!$A$2:$F$5,2,FALSE)+(E830*D830+F830)*VLOOKUP(C830,Settings!$A$2:$F$5,3,FALSE)/100+(E830*D830+F830)*VLOOKUP(C830,Settings!$A$2:$F$5,4,FALSE)/100+VLOOKUP(C830,Settings!$A$2:$F$5,5,FALSE)+VLOOKUP(C830,Settings!$A$2:$F$5,6,FALSE),0))</f>
        <v/>
      </c>
      <c r="J830" s="3">
        <f>IF(B830="","",IF(ISNA(MATCH(B830,Inventory!$A$2:$A$201,0)),"Check product",E830*D830+F830-I830-G830-H830))</f>
        <v/>
      </c>
      <c r="K830" s="4">
        <f>IF(OR(B830="",NOT(ISNUMBER(J830)),E830*D830+F830=0),"",J830/(E830*D830+F830))</f>
        <v/>
      </c>
    </row>
    <row r="831">
      <c r="A831" s="8" t="n"/>
      <c r="B831" s="6" t="n"/>
      <c r="C831" s="6" t="n"/>
      <c r="D831" s="6" t="n"/>
      <c r="E831" s="7" t="n"/>
      <c r="F831" s="7" t="n"/>
      <c r="G831" s="7" t="n"/>
      <c r="H831" s="3">
        <f>IFERROR(VLOOKUP(B831,Inventory!$A:$B,2,FALSE)*D831,0)</f>
        <v/>
      </c>
      <c r="I831" s="3">
        <f>IF(C831="",0,IFERROR(VLOOKUP(C831,Settings!$A$2:$F$5,2,FALSE)+(E831*D831+F831)*VLOOKUP(C831,Settings!$A$2:$F$5,3,FALSE)/100+(E831*D831+F831)*VLOOKUP(C831,Settings!$A$2:$F$5,4,FALSE)/100+VLOOKUP(C831,Settings!$A$2:$F$5,5,FALSE)+VLOOKUP(C831,Settings!$A$2:$F$5,6,FALSE),0))</f>
        <v/>
      </c>
      <c r="J831" s="3">
        <f>IF(B831="","",IF(ISNA(MATCH(B831,Inventory!$A$2:$A$201,0)),"Check product",E831*D831+F831-I831-G831-H831))</f>
        <v/>
      </c>
      <c r="K831" s="4">
        <f>IF(OR(B831="",NOT(ISNUMBER(J831)),E831*D831+F831=0),"",J831/(E831*D831+F831))</f>
        <v/>
      </c>
    </row>
    <row r="832">
      <c r="A832" s="8" t="n"/>
      <c r="B832" s="6" t="n"/>
      <c r="C832" s="6" t="n"/>
      <c r="D832" s="6" t="n"/>
      <c r="E832" s="7" t="n"/>
      <c r="F832" s="7" t="n"/>
      <c r="G832" s="7" t="n"/>
      <c r="H832" s="3">
        <f>IFERROR(VLOOKUP(B832,Inventory!$A:$B,2,FALSE)*D832,0)</f>
        <v/>
      </c>
      <c r="I832" s="3">
        <f>IF(C832="",0,IFERROR(VLOOKUP(C832,Settings!$A$2:$F$5,2,FALSE)+(E832*D832+F832)*VLOOKUP(C832,Settings!$A$2:$F$5,3,FALSE)/100+(E832*D832+F832)*VLOOKUP(C832,Settings!$A$2:$F$5,4,FALSE)/100+VLOOKUP(C832,Settings!$A$2:$F$5,5,FALSE)+VLOOKUP(C832,Settings!$A$2:$F$5,6,FALSE),0))</f>
        <v/>
      </c>
      <c r="J832" s="3">
        <f>IF(B832="","",IF(ISNA(MATCH(B832,Inventory!$A$2:$A$201,0)),"Check product",E832*D832+F832-I832-G832-H832))</f>
        <v/>
      </c>
      <c r="K832" s="4">
        <f>IF(OR(B832="",NOT(ISNUMBER(J832)),E832*D832+F832=0),"",J832/(E832*D832+F832))</f>
        <v/>
      </c>
    </row>
    <row r="833">
      <c r="A833" s="8" t="n"/>
      <c r="B833" s="6" t="n"/>
      <c r="C833" s="6" t="n"/>
      <c r="D833" s="6" t="n"/>
      <c r="E833" s="7" t="n"/>
      <c r="F833" s="7" t="n"/>
      <c r="G833" s="7" t="n"/>
      <c r="H833" s="3">
        <f>IFERROR(VLOOKUP(B833,Inventory!$A:$B,2,FALSE)*D833,0)</f>
        <v/>
      </c>
      <c r="I833" s="3">
        <f>IF(C833="",0,IFERROR(VLOOKUP(C833,Settings!$A$2:$F$5,2,FALSE)+(E833*D833+F833)*VLOOKUP(C833,Settings!$A$2:$F$5,3,FALSE)/100+(E833*D833+F833)*VLOOKUP(C833,Settings!$A$2:$F$5,4,FALSE)/100+VLOOKUP(C833,Settings!$A$2:$F$5,5,FALSE)+VLOOKUP(C833,Settings!$A$2:$F$5,6,FALSE),0))</f>
        <v/>
      </c>
      <c r="J833" s="3">
        <f>IF(B833="","",IF(ISNA(MATCH(B833,Inventory!$A$2:$A$201,0)),"Check product",E833*D833+F833-I833-G833-H833))</f>
        <v/>
      </c>
      <c r="K833" s="4">
        <f>IF(OR(B833="",NOT(ISNUMBER(J833)),E833*D833+F833=0),"",J833/(E833*D833+F833))</f>
        <v/>
      </c>
    </row>
    <row r="834">
      <c r="A834" s="8" t="n"/>
      <c r="B834" s="6" t="n"/>
      <c r="C834" s="6" t="n"/>
      <c r="D834" s="6" t="n"/>
      <c r="E834" s="7" t="n"/>
      <c r="F834" s="7" t="n"/>
      <c r="G834" s="7" t="n"/>
      <c r="H834" s="3">
        <f>IFERROR(VLOOKUP(B834,Inventory!$A:$B,2,FALSE)*D834,0)</f>
        <v/>
      </c>
      <c r="I834" s="3">
        <f>IF(C834="",0,IFERROR(VLOOKUP(C834,Settings!$A$2:$F$5,2,FALSE)+(E834*D834+F834)*VLOOKUP(C834,Settings!$A$2:$F$5,3,FALSE)/100+(E834*D834+F834)*VLOOKUP(C834,Settings!$A$2:$F$5,4,FALSE)/100+VLOOKUP(C834,Settings!$A$2:$F$5,5,FALSE)+VLOOKUP(C834,Settings!$A$2:$F$5,6,FALSE),0))</f>
        <v/>
      </c>
      <c r="J834" s="3">
        <f>IF(B834="","",IF(ISNA(MATCH(B834,Inventory!$A$2:$A$201,0)),"Check product",E834*D834+F834-I834-G834-H834))</f>
        <v/>
      </c>
      <c r="K834" s="4">
        <f>IF(OR(B834="",NOT(ISNUMBER(J834)),E834*D834+F834=0),"",J834/(E834*D834+F834))</f>
        <v/>
      </c>
    </row>
    <row r="835">
      <c r="A835" s="8" t="n"/>
      <c r="B835" s="6" t="n"/>
      <c r="C835" s="6" t="n"/>
      <c r="D835" s="6" t="n"/>
      <c r="E835" s="7" t="n"/>
      <c r="F835" s="7" t="n"/>
      <c r="G835" s="7" t="n"/>
      <c r="H835" s="3">
        <f>IFERROR(VLOOKUP(B835,Inventory!$A:$B,2,FALSE)*D835,0)</f>
        <v/>
      </c>
      <c r="I835" s="3">
        <f>IF(C835="",0,IFERROR(VLOOKUP(C835,Settings!$A$2:$F$5,2,FALSE)+(E835*D835+F835)*VLOOKUP(C835,Settings!$A$2:$F$5,3,FALSE)/100+(E835*D835+F835)*VLOOKUP(C835,Settings!$A$2:$F$5,4,FALSE)/100+VLOOKUP(C835,Settings!$A$2:$F$5,5,FALSE)+VLOOKUP(C835,Settings!$A$2:$F$5,6,FALSE),0))</f>
        <v/>
      </c>
      <c r="J835" s="3">
        <f>IF(B835="","",IF(ISNA(MATCH(B835,Inventory!$A$2:$A$201,0)),"Check product",E835*D835+F835-I835-G835-H835))</f>
        <v/>
      </c>
      <c r="K835" s="4">
        <f>IF(OR(B835="",NOT(ISNUMBER(J835)),E835*D835+F835=0),"",J835/(E835*D835+F835))</f>
        <v/>
      </c>
    </row>
    <row r="836">
      <c r="A836" s="8" t="n"/>
      <c r="B836" s="6" t="n"/>
      <c r="C836" s="6" t="n"/>
      <c r="D836" s="6" t="n"/>
      <c r="E836" s="7" t="n"/>
      <c r="F836" s="7" t="n"/>
      <c r="G836" s="7" t="n"/>
      <c r="H836" s="3">
        <f>IFERROR(VLOOKUP(B836,Inventory!$A:$B,2,FALSE)*D836,0)</f>
        <v/>
      </c>
      <c r="I836" s="3">
        <f>IF(C836="",0,IFERROR(VLOOKUP(C836,Settings!$A$2:$F$5,2,FALSE)+(E836*D836+F836)*VLOOKUP(C836,Settings!$A$2:$F$5,3,FALSE)/100+(E836*D836+F836)*VLOOKUP(C836,Settings!$A$2:$F$5,4,FALSE)/100+VLOOKUP(C836,Settings!$A$2:$F$5,5,FALSE)+VLOOKUP(C836,Settings!$A$2:$F$5,6,FALSE),0))</f>
        <v/>
      </c>
      <c r="J836" s="3">
        <f>IF(B836="","",IF(ISNA(MATCH(B836,Inventory!$A$2:$A$201,0)),"Check product",E836*D836+F836-I836-G836-H836))</f>
        <v/>
      </c>
      <c r="K836" s="4">
        <f>IF(OR(B836="",NOT(ISNUMBER(J836)),E836*D836+F836=0),"",J836/(E836*D836+F836))</f>
        <v/>
      </c>
    </row>
    <row r="837">
      <c r="A837" s="8" t="n"/>
      <c r="B837" s="6" t="n"/>
      <c r="C837" s="6" t="n"/>
      <c r="D837" s="6" t="n"/>
      <c r="E837" s="7" t="n"/>
      <c r="F837" s="7" t="n"/>
      <c r="G837" s="7" t="n"/>
      <c r="H837" s="3">
        <f>IFERROR(VLOOKUP(B837,Inventory!$A:$B,2,FALSE)*D837,0)</f>
        <v/>
      </c>
      <c r="I837" s="3">
        <f>IF(C837="",0,IFERROR(VLOOKUP(C837,Settings!$A$2:$F$5,2,FALSE)+(E837*D837+F837)*VLOOKUP(C837,Settings!$A$2:$F$5,3,FALSE)/100+(E837*D837+F837)*VLOOKUP(C837,Settings!$A$2:$F$5,4,FALSE)/100+VLOOKUP(C837,Settings!$A$2:$F$5,5,FALSE)+VLOOKUP(C837,Settings!$A$2:$F$5,6,FALSE),0))</f>
        <v/>
      </c>
      <c r="J837" s="3">
        <f>IF(B837="","",IF(ISNA(MATCH(B837,Inventory!$A$2:$A$201,0)),"Check product",E837*D837+F837-I837-G837-H837))</f>
        <v/>
      </c>
      <c r="K837" s="4">
        <f>IF(OR(B837="",NOT(ISNUMBER(J837)),E837*D837+F837=0),"",J837/(E837*D837+F837))</f>
        <v/>
      </c>
    </row>
    <row r="838">
      <c r="A838" s="8" t="n"/>
      <c r="B838" s="6" t="n"/>
      <c r="C838" s="6" t="n"/>
      <c r="D838" s="6" t="n"/>
      <c r="E838" s="7" t="n"/>
      <c r="F838" s="7" t="n"/>
      <c r="G838" s="7" t="n"/>
      <c r="H838" s="3">
        <f>IFERROR(VLOOKUP(B838,Inventory!$A:$B,2,FALSE)*D838,0)</f>
        <v/>
      </c>
      <c r="I838" s="3">
        <f>IF(C838="",0,IFERROR(VLOOKUP(C838,Settings!$A$2:$F$5,2,FALSE)+(E838*D838+F838)*VLOOKUP(C838,Settings!$A$2:$F$5,3,FALSE)/100+(E838*D838+F838)*VLOOKUP(C838,Settings!$A$2:$F$5,4,FALSE)/100+VLOOKUP(C838,Settings!$A$2:$F$5,5,FALSE)+VLOOKUP(C838,Settings!$A$2:$F$5,6,FALSE),0))</f>
        <v/>
      </c>
      <c r="J838" s="3">
        <f>IF(B838="","",IF(ISNA(MATCH(B838,Inventory!$A$2:$A$201,0)),"Check product",E838*D838+F838-I838-G838-H838))</f>
        <v/>
      </c>
      <c r="K838" s="4">
        <f>IF(OR(B838="",NOT(ISNUMBER(J838)),E838*D838+F838=0),"",J838/(E838*D838+F838))</f>
        <v/>
      </c>
    </row>
    <row r="839">
      <c r="A839" s="8" t="n"/>
      <c r="B839" s="6" t="n"/>
      <c r="C839" s="6" t="n"/>
      <c r="D839" s="6" t="n"/>
      <c r="E839" s="7" t="n"/>
      <c r="F839" s="7" t="n"/>
      <c r="G839" s="7" t="n"/>
      <c r="H839" s="3">
        <f>IFERROR(VLOOKUP(B839,Inventory!$A:$B,2,FALSE)*D839,0)</f>
        <v/>
      </c>
      <c r="I839" s="3">
        <f>IF(C839="",0,IFERROR(VLOOKUP(C839,Settings!$A$2:$F$5,2,FALSE)+(E839*D839+F839)*VLOOKUP(C839,Settings!$A$2:$F$5,3,FALSE)/100+(E839*D839+F839)*VLOOKUP(C839,Settings!$A$2:$F$5,4,FALSE)/100+VLOOKUP(C839,Settings!$A$2:$F$5,5,FALSE)+VLOOKUP(C839,Settings!$A$2:$F$5,6,FALSE),0))</f>
        <v/>
      </c>
      <c r="J839" s="3">
        <f>IF(B839="","",IF(ISNA(MATCH(B839,Inventory!$A$2:$A$201,0)),"Check product",E839*D839+F839-I839-G839-H839))</f>
        <v/>
      </c>
      <c r="K839" s="4">
        <f>IF(OR(B839="",NOT(ISNUMBER(J839)),E839*D839+F839=0),"",J839/(E839*D839+F839))</f>
        <v/>
      </c>
    </row>
    <row r="840">
      <c r="A840" s="8" t="n"/>
      <c r="B840" s="6" t="n"/>
      <c r="C840" s="6" t="n"/>
      <c r="D840" s="6" t="n"/>
      <c r="E840" s="7" t="n"/>
      <c r="F840" s="7" t="n"/>
      <c r="G840" s="7" t="n"/>
      <c r="H840" s="3">
        <f>IFERROR(VLOOKUP(B840,Inventory!$A:$B,2,FALSE)*D840,0)</f>
        <v/>
      </c>
      <c r="I840" s="3">
        <f>IF(C840="",0,IFERROR(VLOOKUP(C840,Settings!$A$2:$F$5,2,FALSE)+(E840*D840+F840)*VLOOKUP(C840,Settings!$A$2:$F$5,3,FALSE)/100+(E840*D840+F840)*VLOOKUP(C840,Settings!$A$2:$F$5,4,FALSE)/100+VLOOKUP(C840,Settings!$A$2:$F$5,5,FALSE)+VLOOKUP(C840,Settings!$A$2:$F$5,6,FALSE),0))</f>
        <v/>
      </c>
      <c r="J840" s="3">
        <f>IF(B840="","",IF(ISNA(MATCH(B840,Inventory!$A$2:$A$201,0)),"Check product",E840*D840+F840-I840-G840-H840))</f>
        <v/>
      </c>
      <c r="K840" s="4">
        <f>IF(OR(B840="",NOT(ISNUMBER(J840)),E840*D840+F840=0),"",J840/(E840*D840+F840))</f>
        <v/>
      </c>
    </row>
    <row r="841">
      <c r="A841" s="8" t="n"/>
      <c r="B841" s="6" t="n"/>
      <c r="C841" s="6" t="n"/>
      <c r="D841" s="6" t="n"/>
      <c r="E841" s="7" t="n"/>
      <c r="F841" s="7" t="n"/>
      <c r="G841" s="7" t="n"/>
      <c r="H841" s="3">
        <f>IFERROR(VLOOKUP(B841,Inventory!$A:$B,2,FALSE)*D841,0)</f>
        <v/>
      </c>
      <c r="I841" s="3">
        <f>IF(C841="",0,IFERROR(VLOOKUP(C841,Settings!$A$2:$F$5,2,FALSE)+(E841*D841+F841)*VLOOKUP(C841,Settings!$A$2:$F$5,3,FALSE)/100+(E841*D841+F841)*VLOOKUP(C841,Settings!$A$2:$F$5,4,FALSE)/100+VLOOKUP(C841,Settings!$A$2:$F$5,5,FALSE)+VLOOKUP(C841,Settings!$A$2:$F$5,6,FALSE),0))</f>
        <v/>
      </c>
      <c r="J841" s="3">
        <f>IF(B841="","",IF(ISNA(MATCH(B841,Inventory!$A$2:$A$201,0)),"Check product",E841*D841+F841-I841-G841-H841))</f>
        <v/>
      </c>
      <c r="K841" s="4">
        <f>IF(OR(B841="",NOT(ISNUMBER(J841)),E841*D841+F841=0),"",J841/(E841*D841+F841))</f>
        <v/>
      </c>
    </row>
    <row r="842">
      <c r="A842" s="8" t="n"/>
      <c r="B842" s="6" t="n"/>
      <c r="C842" s="6" t="n"/>
      <c r="D842" s="6" t="n"/>
      <c r="E842" s="7" t="n"/>
      <c r="F842" s="7" t="n"/>
      <c r="G842" s="7" t="n"/>
      <c r="H842" s="3">
        <f>IFERROR(VLOOKUP(B842,Inventory!$A:$B,2,FALSE)*D842,0)</f>
        <v/>
      </c>
      <c r="I842" s="3">
        <f>IF(C842="",0,IFERROR(VLOOKUP(C842,Settings!$A$2:$F$5,2,FALSE)+(E842*D842+F842)*VLOOKUP(C842,Settings!$A$2:$F$5,3,FALSE)/100+(E842*D842+F842)*VLOOKUP(C842,Settings!$A$2:$F$5,4,FALSE)/100+VLOOKUP(C842,Settings!$A$2:$F$5,5,FALSE)+VLOOKUP(C842,Settings!$A$2:$F$5,6,FALSE),0))</f>
        <v/>
      </c>
      <c r="J842" s="3">
        <f>IF(B842="","",IF(ISNA(MATCH(B842,Inventory!$A$2:$A$201,0)),"Check product",E842*D842+F842-I842-G842-H842))</f>
        <v/>
      </c>
      <c r="K842" s="4">
        <f>IF(OR(B842="",NOT(ISNUMBER(J842)),E842*D842+F842=0),"",J842/(E842*D842+F842))</f>
        <v/>
      </c>
    </row>
    <row r="843">
      <c r="A843" s="8" t="n"/>
      <c r="B843" s="6" t="n"/>
      <c r="C843" s="6" t="n"/>
      <c r="D843" s="6" t="n"/>
      <c r="E843" s="7" t="n"/>
      <c r="F843" s="7" t="n"/>
      <c r="G843" s="7" t="n"/>
      <c r="H843" s="3">
        <f>IFERROR(VLOOKUP(B843,Inventory!$A:$B,2,FALSE)*D843,0)</f>
        <v/>
      </c>
      <c r="I843" s="3">
        <f>IF(C843="",0,IFERROR(VLOOKUP(C843,Settings!$A$2:$F$5,2,FALSE)+(E843*D843+F843)*VLOOKUP(C843,Settings!$A$2:$F$5,3,FALSE)/100+(E843*D843+F843)*VLOOKUP(C843,Settings!$A$2:$F$5,4,FALSE)/100+VLOOKUP(C843,Settings!$A$2:$F$5,5,FALSE)+VLOOKUP(C843,Settings!$A$2:$F$5,6,FALSE),0))</f>
        <v/>
      </c>
      <c r="J843" s="3">
        <f>IF(B843="","",IF(ISNA(MATCH(B843,Inventory!$A$2:$A$201,0)),"Check product",E843*D843+F843-I843-G843-H843))</f>
        <v/>
      </c>
      <c r="K843" s="4">
        <f>IF(OR(B843="",NOT(ISNUMBER(J843)),E843*D843+F843=0),"",J843/(E843*D843+F843))</f>
        <v/>
      </c>
    </row>
    <row r="844">
      <c r="A844" s="8" t="n"/>
      <c r="B844" s="6" t="n"/>
      <c r="C844" s="6" t="n"/>
      <c r="D844" s="6" t="n"/>
      <c r="E844" s="7" t="n"/>
      <c r="F844" s="7" t="n"/>
      <c r="G844" s="7" t="n"/>
      <c r="H844" s="3">
        <f>IFERROR(VLOOKUP(B844,Inventory!$A:$B,2,FALSE)*D844,0)</f>
        <v/>
      </c>
      <c r="I844" s="3">
        <f>IF(C844="",0,IFERROR(VLOOKUP(C844,Settings!$A$2:$F$5,2,FALSE)+(E844*D844+F844)*VLOOKUP(C844,Settings!$A$2:$F$5,3,FALSE)/100+(E844*D844+F844)*VLOOKUP(C844,Settings!$A$2:$F$5,4,FALSE)/100+VLOOKUP(C844,Settings!$A$2:$F$5,5,FALSE)+VLOOKUP(C844,Settings!$A$2:$F$5,6,FALSE),0))</f>
        <v/>
      </c>
      <c r="J844" s="3">
        <f>IF(B844="","",IF(ISNA(MATCH(B844,Inventory!$A$2:$A$201,0)),"Check product",E844*D844+F844-I844-G844-H844))</f>
        <v/>
      </c>
      <c r="K844" s="4">
        <f>IF(OR(B844="",NOT(ISNUMBER(J844)),E844*D844+F844=0),"",J844/(E844*D844+F844))</f>
        <v/>
      </c>
    </row>
    <row r="845">
      <c r="A845" s="8" t="n"/>
      <c r="B845" s="6" t="n"/>
      <c r="C845" s="6" t="n"/>
      <c r="D845" s="6" t="n"/>
      <c r="E845" s="7" t="n"/>
      <c r="F845" s="7" t="n"/>
      <c r="G845" s="7" t="n"/>
      <c r="H845" s="3">
        <f>IFERROR(VLOOKUP(B845,Inventory!$A:$B,2,FALSE)*D845,0)</f>
        <v/>
      </c>
      <c r="I845" s="3">
        <f>IF(C845="",0,IFERROR(VLOOKUP(C845,Settings!$A$2:$F$5,2,FALSE)+(E845*D845+F845)*VLOOKUP(C845,Settings!$A$2:$F$5,3,FALSE)/100+(E845*D845+F845)*VLOOKUP(C845,Settings!$A$2:$F$5,4,FALSE)/100+VLOOKUP(C845,Settings!$A$2:$F$5,5,FALSE)+VLOOKUP(C845,Settings!$A$2:$F$5,6,FALSE),0))</f>
        <v/>
      </c>
      <c r="J845" s="3">
        <f>IF(B845="","",IF(ISNA(MATCH(B845,Inventory!$A$2:$A$201,0)),"Check product",E845*D845+F845-I845-G845-H845))</f>
        <v/>
      </c>
      <c r="K845" s="4">
        <f>IF(OR(B845="",NOT(ISNUMBER(J845)),E845*D845+F845=0),"",J845/(E845*D845+F845))</f>
        <v/>
      </c>
    </row>
    <row r="846">
      <c r="A846" s="8" t="n"/>
      <c r="B846" s="6" t="n"/>
      <c r="C846" s="6" t="n"/>
      <c r="D846" s="6" t="n"/>
      <c r="E846" s="7" t="n"/>
      <c r="F846" s="7" t="n"/>
      <c r="G846" s="7" t="n"/>
      <c r="H846" s="3">
        <f>IFERROR(VLOOKUP(B846,Inventory!$A:$B,2,FALSE)*D846,0)</f>
        <v/>
      </c>
      <c r="I846" s="3">
        <f>IF(C846="",0,IFERROR(VLOOKUP(C846,Settings!$A$2:$F$5,2,FALSE)+(E846*D846+F846)*VLOOKUP(C846,Settings!$A$2:$F$5,3,FALSE)/100+(E846*D846+F846)*VLOOKUP(C846,Settings!$A$2:$F$5,4,FALSE)/100+VLOOKUP(C846,Settings!$A$2:$F$5,5,FALSE)+VLOOKUP(C846,Settings!$A$2:$F$5,6,FALSE),0))</f>
        <v/>
      </c>
      <c r="J846" s="3">
        <f>IF(B846="","",IF(ISNA(MATCH(B846,Inventory!$A$2:$A$201,0)),"Check product",E846*D846+F846-I846-G846-H846))</f>
        <v/>
      </c>
      <c r="K846" s="4">
        <f>IF(OR(B846="",NOT(ISNUMBER(J846)),E846*D846+F846=0),"",J846/(E846*D846+F846))</f>
        <v/>
      </c>
    </row>
    <row r="847">
      <c r="A847" s="8" t="n"/>
      <c r="B847" s="6" t="n"/>
      <c r="C847" s="6" t="n"/>
      <c r="D847" s="6" t="n"/>
      <c r="E847" s="7" t="n"/>
      <c r="F847" s="7" t="n"/>
      <c r="G847" s="7" t="n"/>
      <c r="H847" s="3">
        <f>IFERROR(VLOOKUP(B847,Inventory!$A:$B,2,FALSE)*D847,0)</f>
        <v/>
      </c>
      <c r="I847" s="3">
        <f>IF(C847="",0,IFERROR(VLOOKUP(C847,Settings!$A$2:$F$5,2,FALSE)+(E847*D847+F847)*VLOOKUP(C847,Settings!$A$2:$F$5,3,FALSE)/100+(E847*D847+F847)*VLOOKUP(C847,Settings!$A$2:$F$5,4,FALSE)/100+VLOOKUP(C847,Settings!$A$2:$F$5,5,FALSE)+VLOOKUP(C847,Settings!$A$2:$F$5,6,FALSE),0))</f>
        <v/>
      </c>
      <c r="J847" s="3">
        <f>IF(B847="","",IF(ISNA(MATCH(B847,Inventory!$A$2:$A$201,0)),"Check product",E847*D847+F847-I847-G847-H847))</f>
        <v/>
      </c>
      <c r="K847" s="4">
        <f>IF(OR(B847="",NOT(ISNUMBER(J847)),E847*D847+F847=0),"",J847/(E847*D847+F847))</f>
        <v/>
      </c>
    </row>
    <row r="848">
      <c r="A848" s="8" t="n"/>
      <c r="B848" s="6" t="n"/>
      <c r="C848" s="6" t="n"/>
      <c r="D848" s="6" t="n"/>
      <c r="E848" s="7" t="n"/>
      <c r="F848" s="7" t="n"/>
      <c r="G848" s="7" t="n"/>
      <c r="H848" s="3">
        <f>IFERROR(VLOOKUP(B848,Inventory!$A:$B,2,FALSE)*D848,0)</f>
        <v/>
      </c>
      <c r="I848" s="3">
        <f>IF(C848="",0,IFERROR(VLOOKUP(C848,Settings!$A$2:$F$5,2,FALSE)+(E848*D848+F848)*VLOOKUP(C848,Settings!$A$2:$F$5,3,FALSE)/100+(E848*D848+F848)*VLOOKUP(C848,Settings!$A$2:$F$5,4,FALSE)/100+VLOOKUP(C848,Settings!$A$2:$F$5,5,FALSE)+VLOOKUP(C848,Settings!$A$2:$F$5,6,FALSE),0))</f>
        <v/>
      </c>
      <c r="J848" s="3">
        <f>IF(B848="","",IF(ISNA(MATCH(B848,Inventory!$A$2:$A$201,0)),"Check product",E848*D848+F848-I848-G848-H848))</f>
        <v/>
      </c>
      <c r="K848" s="4">
        <f>IF(OR(B848="",NOT(ISNUMBER(J848)),E848*D848+F848=0),"",J848/(E848*D848+F848))</f>
        <v/>
      </c>
    </row>
    <row r="849">
      <c r="A849" s="8" t="n"/>
      <c r="B849" s="6" t="n"/>
      <c r="C849" s="6" t="n"/>
      <c r="D849" s="6" t="n"/>
      <c r="E849" s="7" t="n"/>
      <c r="F849" s="7" t="n"/>
      <c r="G849" s="7" t="n"/>
      <c r="H849" s="3">
        <f>IFERROR(VLOOKUP(B849,Inventory!$A:$B,2,FALSE)*D849,0)</f>
        <v/>
      </c>
      <c r="I849" s="3">
        <f>IF(C849="",0,IFERROR(VLOOKUP(C849,Settings!$A$2:$F$5,2,FALSE)+(E849*D849+F849)*VLOOKUP(C849,Settings!$A$2:$F$5,3,FALSE)/100+(E849*D849+F849)*VLOOKUP(C849,Settings!$A$2:$F$5,4,FALSE)/100+VLOOKUP(C849,Settings!$A$2:$F$5,5,FALSE)+VLOOKUP(C849,Settings!$A$2:$F$5,6,FALSE),0))</f>
        <v/>
      </c>
      <c r="J849" s="3">
        <f>IF(B849="","",IF(ISNA(MATCH(B849,Inventory!$A$2:$A$201,0)),"Check product",E849*D849+F849-I849-G849-H849))</f>
        <v/>
      </c>
      <c r="K849" s="4">
        <f>IF(OR(B849="",NOT(ISNUMBER(J849)),E849*D849+F849=0),"",J849/(E849*D849+F849))</f>
        <v/>
      </c>
    </row>
    <row r="850">
      <c r="A850" s="8" t="n"/>
      <c r="B850" s="6" t="n"/>
      <c r="C850" s="6" t="n"/>
      <c r="D850" s="6" t="n"/>
      <c r="E850" s="7" t="n"/>
      <c r="F850" s="7" t="n"/>
      <c r="G850" s="7" t="n"/>
      <c r="H850" s="3">
        <f>IFERROR(VLOOKUP(B850,Inventory!$A:$B,2,FALSE)*D850,0)</f>
        <v/>
      </c>
      <c r="I850" s="3">
        <f>IF(C850="",0,IFERROR(VLOOKUP(C850,Settings!$A$2:$F$5,2,FALSE)+(E850*D850+F850)*VLOOKUP(C850,Settings!$A$2:$F$5,3,FALSE)/100+(E850*D850+F850)*VLOOKUP(C850,Settings!$A$2:$F$5,4,FALSE)/100+VLOOKUP(C850,Settings!$A$2:$F$5,5,FALSE)+VLOOKUP(C850,Settings!$A$2:$F$5,6,FALSE),0))</f>
        <v/>
      </c>
      <c r="J850" s="3">
        <f>IF(B850="","",IF(ISNA(MATCH(B850,Inventory!$A$2:$A$201,0)),"Check product",E850*D850+F850-I850-G850-H850))</f>
        <v/>
      </c>
      <c r="K850" s="4">
        <f>IF(OR(B850="",NOT(ISNUMBER(J850)),E850*D850+F850=0),"",J850/(E850*D850+F850))</f>
        <v/>
      </c>
    </row>
    <row r="851">
      <c r="A851" s="8" t="n"/>
      <c r="B851" s="6" t="n"/>
      <c r="C851" s="6" t="n"/>
      <c r="D851" s="6" t="n"/>
      <c r="E851" s="7" t="n"/>
      <c r="F851" s="7" t="n"/>
      <c r="G851" s="7" t="n"/>
      <c r="H851" s="3">
        <f>IFERROR(VLOOKUP(B851,Inventory!$A:$B,2,FALSE)*D851,0)</f>
        <v/>
      </c>
      <c r="I851" s="3">
        <f>IF(C851="",0,IFERROR(VLOOKUP(C851,Settings!$A$2:$F$5,2,FALSE)+(E851*D851+F851)*VLOOKUP(C851,Settings!$A$2:$F$5,3,FALSE)/100+(E851*D851+F851)*VLOOKUP(C851,Settings!$A$2:$F$5,4,FALSE)/100+VLOOKUP(C851,Settings!$A$2:$F$5,5,FALSE)+VLOOKUP(C851,Settings!$A$2:$F$5,6,FALSE),0))</f>
        <v/>
      </c>
      <c r="J851" s="3">
        <f>IF(B851="","",IF(ISNA(MATCH(B851,Inventory!$A$2:$A$201,0)),"Check product",E851*D851+F851-I851-G851-H851))</f>
        <v/>
      </c>
      <c r="K851" s="4">
        <f>IF(OR(B851="",NOT(ISNUMBER(J851)),E851*D851+F851=0),"",J851/(E851*D851+F851))</f>
        <v/>
      </c>
    </row>
    <row r="852">
      <c r="A852" s="8" t="n"/>
      <c r="B852" s="6" t="n"/>
      <c r="C852" s="6" t="n"/>
      <c r="D852" s="6" t="n"/>
      <c r="E852" s="7" t="n"/>
      <c r="F852" s="7" t="n"/>
      <c r="G852" s="7" t="n"/>
      <c r="H852" s="3">
        <f>IFERROR(VLOOKUP(B852,Inventory!$A:$B,2,FALSE)*D852,0)</f>
        <v/>
      </c>
      <c r="I852" s="3">
        <f>IF(C852="",0,IFERROR(VLOOKUP(C852,Settings!$A$2:$F$5,2,FALSE)+(E852*D852+F852)*VLOOKUP(C852,Settings!$A$2:$F$5,3,FALSE)/100+(E852*D852+F852)*VLOOKUP(C852,Settings!$A$2:$F$5,4,FALSE)/100+VLOOKUP(C852,Settings!$A$2:$F$5,5,FALSE)+VLOOKUP(C852,Settings!$A$2:$F$5,6,FALSE),0))</f>
        <v/>
      </c>
      <c r="J852" s="3">
        <f>IF(B852="","",IF(ISNA(MATCH(B852,Inventory!$A$2:$A$201,0)),"Check product",E852*D852+F852-I852-G852-H852))</f>
        <v/>
      </c>
      <c r="K852" s="4">
        <f>IF(OR(B852="",NOT(ISNUMBER(J852)),E852*D852+F852=0),"",J852/(E852*D852+F852))</f>
        <v/>
      </c>
    </row>
    <row r="853">
      <c r="A853" s="8" t="n"/>
      <c r="B853" s="6" t="n"/>
      <c r="C853" s="6" t="n"/>
      <c r="D853" s="6" t="n"/>
      <c r="E853" s="7" t="n"/>
      <c r="F853" s="7" t="n"/>
      <c r="G853" s="7" t="n"/>
      <c r="H853" s="3">
        <f>IFERROR(VLOOKUP(B853,Inventory!$A:$B,2,FALSE)*D853,0)</f>
        <v/>
      </c>
      <c r="I853" s="3">
        <f>IF(C853="",0,IFERROR(VLOOKUP(C853,Settings!$A$2:$F$5,2,FALSE)+(E853*D853+F853)*VLOOKUP(C853,Settings!$A$2:$F$5,3,FALSE)/100+(E853*D853+F853)*VLOOKUP(C853,Settings!$A$2:$F$5,4,FALSE)/100+VLOOKUP(C853,Settings!$A$2:$F$5,5,FALSE)+VLOOKUP(C853,Settings!$A$2:$F$5,6,FALSE),0))</f>
        <v/>
      </c>
      <c r="J853" s="3">
        <f>IF(B853="","",IF(ISNA(MATCH(B853,Inventory!$A$2:$A$201,0)),"Check product",E853*D853+F853-I853-G853-H853))</f>
        <v/>
      </c>
      <c r="K853" s="4">
        <f>IF(OR(B853="",NOT(ISNUMBER(J853)),E853*D853+F853=0),"",J853/(E853*D853+F853))</f>
        <v/>
      </c>
    </row>
    <row r="854">
      <c r="A854" s="8" t="n"/>
      <c r="B854" s="6" t="n"/>
      <c r="C854" s="6" t="n"/>
      <c r="D854" s="6" t="n"/>
      <c r="E854" s="7" t="n"/>
      <c r="F854" s="7" t="n"/>
      <c r="G854" s="7" t="n"/>
      <c r="H854" s="3">
        <f>IFERROR(VLOOKUP(B854,Inventory!$A:$B,2,FALSE)*D854,0)</f>
        <v/>
      </c>
      <c r="I854" s="3">
        <f>IF(C854="",0,IFERROR(VLOOKUP(C854,Settings!$A$2:$F$5,2,FALSE)+(E854*D854+F854)*VLOOKUP(C854,Settings!$A$2:$F$5,3,FALSE)/100+(E854*D854+F854)*VLOOKUP(C854,Settings!$A$2:$F$5,4,FALSE)/100+VLOOKUP(C854,Settings!$A$2:$F$5,5,FALSE)+VLOOKUP(C854,Settings!$A$2:$F$5,6,FALSE),0))</f>
        <v/>
      </c>
      <c r="J854" s="3">
        <f>IF(B854="","",IF(ISNA(MATCH(B854,Inventory!$A$2:$A$201,0)),"Check product",E854*D854+F854-I854-G854-H854))</f>
        <v/>
      </c>
      <c r="K854" s="4">
        <f>IF(OR(B854="",NOT(ISNUMBER(J854)),E854*D854+F854=0),"",J854/(E854*D854+F854))</f>
        <v/>
      </c>
    </row>
    <row r="855">
      <c r="A855" s="8" t="n"/>
      <c r="B855" s="6" t="n"/>
      <c r="C855" s="6" t="n"/>
      <c r="D855" s="6" t="n"/>
      <c r="E855" s="7" t="n"/>
      <c r="F855" s="7" t="n"/>
      <c r="G855" s="7" t="n"/>
      <c r="H855" s="3">
        <f>IFERROR(VLOOKUP(B855,Inventory!$A:$B,2,FALSE)*D855,0)</f>
        <v/>
      </c>
      <c r="I855" s="3">
        <f>IF(C855="",0,IFERROR(VLOOKUP(C855,Settings!$A$2:$F$5,2,FALSE)+(E855*D855+F855)*VLOOKUP(C855,Settings!$A$2:$F$5,3,FALSE)/100+(E855*D855+F855)*VLOOKUP(C855,Settings!$A$2:$F$5,4,FALSE)/100+VLOOKUP(C855,Settings!$A$2:$F$5,5,FALSE)+VLOOKUP(C855,Settings!$A$2:$F$5,6,FALSE),0))</f>
        <v/>
      </c>
      <c r="J855" s="3">
        <f>IF(B855="","",IF(ISNA(MATCH(B855,Inventory!$A$2:$A$201,0)),"Check product",E855*D855+F855-I855-G855-H855))</f>
        <v/>
      </c>
      <c r="K855" s="4">
        <f>IF(OR(B855="",NOT(ISNUMBER(J855)),E855*D855+F855=0),"",J855/(E855*D855+F855))</f>
        <v/>
      </c>
    </row>
    <row r="856">
      <c r="A856" s="8" t="n"/>
      <c r="B856" s="6" t="n"/>
      <c r="C856" s="6" t="n"/>
      <c r="D856" s="6" t="n"/>
      <c r="E856" s="7" t="n"/>
      <c r="F856" s="7" t="n"/>
      <c r="G856" s="7" t="n"/>
      <c r="H856" s="3">
        <f>IFERROR(VLOOKUP(B856,Inventory!$A:$B,2,FALSE)*D856,0)</f>
        <v/>
      </c>
      <c r="I856" s="3">
        <f>IF(C856="",0,IFERROR(VLOOKUP(C856,Settings!$A$2:$F$5,2,FALSE)+(E856*D856+F856)*VLOOKUP(C856,Settings!$A$2:$F$5,3,FALSE)/100+(E856*D856+F856)*VLOOKUP(C856,Settings!$A$2:$F$5,4,FALSE)/100+VLOOKUP(C856,Settings!$A$2:$F$5,5,FALSE)+VLOOKUP(C856,Settings!$A$2:$F$5,6,FALSE),0))</f>
        <v/>
      </c>
      <c r="J856" s="3">
        <f>IF(B856="","",IF(ISNA(MATCH(B856,Inventory!$A$2:$A$201,0)),"Check product",E856*D856+F856-I856-G856-H856))</f>
        <v/>
      </c>
      <c r="K856" s="4">
        <f>IF(OR(B856="",NOT(ISNUMBER(J856)),E856*D856+F856=0),"",J856/(E856*D856+F856))</f>
        <v/>
      </c>
    </row>
    <row r="857">
      <c r="A857" s="8" t="n"/>
      <c r="B857" s="6" t="n"/>
      <c r="C857" s="6" t="n"/>
      <c r="D857" s="6" t="n"/>
      <c r="E857" s="7" t="n"/>
      <c r="F857" s="7" t="n"/>
      <c r="G857" s="7" t="n"/>
      <c r="H857" s="3">
        <f>IFERROR(VLOOKUP(B857,Inventory!$A:$B,2,FALSE)*D857,0)</f>
        <v/>
      </c>
      <c r="I857" s="3">
        <f>IF(C857="",0,IFERROR(VLOOKUP(C857,Settings!$A$2:$F$5,2,FALSE)+(E857*D857+F857)*VLOOKUP(C857,Settings!$A$2:$F$5,3,FALSE)/100+(E857*D857+F857)*VLOOKUP(C857,Settings!$A$2:$F$5,4,FALSE)/100+VLOOKUP(C857,Settings!$A$2:$F$5,5,FALSE)+VLOOKUP(C857,Settings!$A$2:$F$5,6,FALSE),0))</f>
        <v/>
      </c>
      <c r="J857" s="3">
        <f>IF(B857="","",IF(ISNA(MATCH(B857,Inventory!$A$2:$A$201,0)),"Check product",E857*D857+F857-I857-G857-H857))</f>
        <v/>
      </c>
      <c r="K857" s="4">
        <f>IF(OR(B857="",NOT(ISNUMBER(J857)),E857*D857+F857=0),"",J857/(E857*D857+F857))</f>
        <v/>
      </c>
    </row>
    <row r="858">
      <c r="A858" s="8" t="n"/>
      <c r="B858" s="6" t="n"/>
      <c r="C858" s="6" t="n"/>
      <c r="D858" s="6" t="n"/>
      <c r="E858" s="7" t="n"/>
      <c r="F858" s="7" t="n"/>
      <c r="G858" s="7" t="n"/>
      <c r="H858" s="3">
        <f>IFERROR(VLOOKUP(B858,Inventory!$A:$B,2,FALSE)*D858,0)</f>
        <v/>
      </c>
      <c r="I858" s="3">
        <f>IF(C858="",0,IFERROR(VLOOKUP(C858,Settings!$A$2:$F$5,2,FALSE)+(E858*D858+F858)*VLOOKUP(C858,Settings!$A$2:$F$5,3,FALSE)/100+(E858*D858+F858)*VLOOKUP(C858,Settings!$A$2:$F$5,4,FALSE)/100+VLOOKUP(C858,Settings!$A$2:$F$5,5,FALSE)+VLOOKUP(C858,Settings!$A$2:$F$5,6,FALSE),0))</f>
        <v/>
      </c>
      <c r="J858" s="3">
        <f>IF(B858="","",IF(ISNA(MATCH(B858,Inventory!$A$2:$A$201,0)),"Check product",E858*D858+F858-I858-G858-H858))</f>
        <v/>
      </c>
      <c r="K858" s="4">
        <f>IF(OR(B858="",NOT(ISNUMBER(J858)),E858*D858+F858=0),"",J858/(E858*D858+F858))</f>
        <v/>
      </c>
    </row>
    <row r="859">
      <c r="A859" s="8" t="n"/>
      <c r="B859" s="6" t="n"/>
      <c r="C859" s="6" t="n"/>
      <c r="D859" s="6" t="n"/>
      <c r="E859" s="7" t="n"/>
      <c r="F859" s="7" t="n"/>
      <c r="G859" s="7" t="n"/>
      <c r="H859" s="3">
        <f>IFERROR(VLOOKUP(B859,Inventory!$A:$B,2,FALSE)*D859,0)</f>
        <v/>
      </c>
      <c r="I859" s="3">
        <f>IF(C859="",0,IFERROR(VLOOKUP(C859,Settings!$A$2:$F$5,2,FALSE)+(E859*D859+F859)*VLOOKUP(C859,Settings!$A$2:$F$5,3,FALSE)/100+(E859*D859+F859)*VLOOKUP(C859,Settings!$A$2:$F$5,4,FALSE)/100+VLOOKUP(C859,Settings!$A$2:$F$5,5,FALSE)+VLOOKUP(C859,Settings!$A$2:$F$5,6,FALSE),0))</f>
        <v/>
      </c>
      <c r="J859" s="3">
        <f>IF(B859="","",IF(ISNA(MATCH(B859,Inventory!$A$2:$A$201,0)),"Check product",E859*D859+F859-I859-G859-H859))</f>
        <v/>
      </c>
      <c r="K859" s="4">
        <f>IF(OR(B859="",NOT(ISNUMBER(J859)),E859*D859+F859=0),"",J859/(E859*D859+F859))</f>
        <v/>
      </c>
    </row>
    <row r="860">
      <c r="A860" s="8" t="n"/>
      <c r="B860" s="6" t="n"/>
      <c r="C860" s="6" t="n"/>
      <c r="D860" s="6" t="n"/>
      <c r="E860" s="7" t="n"/>
      <c r="F860" s="7" t="n"/>
      <c r="G860" s="7" t="n"/>
      <c r="H860" s="3">
        <f>IFERROR(VLOOKUP(B860,Inventory!$A:$B,2,FALSE)*D860,0)</f>
        <v/>
      </c>
      <c r="I860" s="3">
        <f>IF(C860="",0,IFERROR(VLOOKUP(C860,Settings!$A$2:$F$5,2,FALSE)+(E860*D860+F860)*VLOOKUP(C860,Settings!$A$2:$F$5,3,FALSE)/100+(E860*D860+F860)*VLOOKUP(C860,Settings!$A$2:$F$5,4,FALSE)/100+VLOOKUP(C860,Settings!$A$2:$F$5,5,FALSE)+VLOOKUP(C860,Settings!$A$2:$F$5,6,FALSE),0))</f>
        <v/>
      </c>
      <c r="J860" s="3">
        <f>IF(B860="","",IF(ISNA(MATCH(B860,Inventory!$A$2:$A$201,0)),"Check product",E860*D860+F860-I860-G860-H860))</f>
        <v/>
      </c>
      <c r="K860" s="4">
        <f>IF(OR(B860="",NOT(ISNUMBER(J860)),E860*D860+F860=0),"",J860/(E860*D860+F860))</f>
        <v/>
      </c>
    </row>
    <row r="861">
      <c r="A861" s="8" t="n"/>
      <c r="B861" s="6" t="n"/>
      <c r="C861" s="6" t="n"/>
      <c r="D861" s="6" t="n"/>
      <c r="E861" s="7" t="n"/>
      <c r="F861" s="7" t="n"/>
      <c r="G861" s="7" t="n"/>
      <c r="H861" s="3">
        <f>IFERROR(VLOOKUP(B861,Inventory!$A:$B,2,FALSE)*D861,0)</f>
        <v/>
      </c>
      <c r="I861" s="3">
        <f>IF(C861="",0,IFERROR(VLOOKUP(C861,Settings!$A$2:$F$5,2,FALSE)+(E861*D861+F861)*VLOOKUP(C861,Settings!$A$2:$F$5,3,FALSE)/100+(E861*D861+F861)*VLOOKUP(C861,Settings!$A$2:$F$5,4,FALSE)/100+VLOOKUP(C861,Settings!$A$2:$F$5,5,FALSE)+VLOOKUP(C861,Settings!$A$2:$F$5,6,FALSE),0))</f>
        <v/>
      </c>
      <c r="J861" s="3">
        <f>IF(B861="","",IF(ISNA(MATCH(B861,Inventory!$A$2:$A$201,0)),"Check product",E861*D861+F861-I861-G861-H861))</f>
        <v/>
      </c>
      <c r="K861" s="4">
        <f>IF(OR(B861="",NOT(ISNUMBER(J861)),E861*D861+F861=0),"",J861/(E861*D861+F861))</f>
        <v/>
      </c>
    </row>
    <row r="862">
      <c r="A862" s="8" t="n"/>
      <c r="B862" s="6" t="n"/>
      <c r="C862" s="6" t="n"/>
      <c r="D862" s="6" t="n"/>
      <c r="E862" s="7" t="n"/>
      <c r="F862" s="7" t="n"/>
      <c r="G862" s="7" t="n"/>
      <c r="H862" s="3">
        <f>IFERROR(VLOOKUP(B862,Inventory!$A:$B,2,FALSE)*D862,0)</f>
        <v/>
      </c>
      <c r="I862" s="3">
        <f>IF(C862="",0,IFERROR(VLOOKUP(C862,Settings!$A$2:$F$5,2,FALSE)+(E862*D862+F862)*VLOOKUP(C862,Settings!$A$2:$F$5,3,FALSE)/100+(E862*D862+F862)*VLOOKUP(C862,Settings!$A$2:$F$5,4,FALSE)/100+VLOOKUP(C862,Settings!$A$2:$F$5,5,FALSE)+VLOOKUP(C862,Settings!$A$2:$F$5,6,FALSE),0))</f>
        <v/>
      </c>
      <c r="J862" s="3">
        <f>IF(B862="","",IF(ISNA(MATCH(B862,Inventory!$A$2:$A$201,0)),"Check product",E862*D862+F862-I862-G862-H862))</f>
        <v/>
      </c>
      <c r="K862" s="4">
        <f>IF(OR(B862="",NOT(ISNUMBER(J862)),E862*D862+F862=0),"",J862/(E862*D862+F862))</f>
        <v/>
      </c>
    </row>
    <row r="863">
      <c r="A863" s="8" t="n"/>
      <c r="B863" s="6" t="n"/>
      <c r="C863" s="6" t="n"/>
      <c r="D863" s="6" t="n"/>
      <c r="E863" s="7" t="n"/>
      <c r="F863" s="7" t="n"/>
      <c r="G863" s="7" t="n"/>
      <c r="H863" s="3">
        <f>IFERROR(VLOOKUP(B863,Inventory!$A:$B,2,FALSE)*D863,0)</f>
        <v/>
      </c>
      <c r="I863" s="3">
        <f>IF(C863="",0,IFERROR(VLOOKUP(C863,Settings!$A$2:$F$5,2,FALSE)+(E863*D863+F863)*VLOOKUP(C863,Settings!$A$2:$F$5,3,FALSE)/100+(E863*D863+F863)*VLOOKUP(C863,Settings!$A$2:$F$5,4,FALSE)/100+VLOOKUP(C863,Settings!$A$2:$F$5,5,FALSE)+VLOOKUP(C863,Settings!$A$2:$F$5,6,FALSE),0))</f>
        <v/>
      </c>
      <c r="J863" s="3">
        <f>IF(B863="","",IF(ISNA(MATCH(B863,Inventory!$A$2:$A$201,0)),"Check product",E863*D863+F863-I863-G863-H863))</f>
        <v/>
      </c>
      <c r="K863" s="4">
        <f>IF(OR(B863="",NOT(ISNUMBER(J863)),E863*D863+F863=0),"",J863/(E863*D863+F863))</f>
        <v/>
      </c>
    </row>
    <row r="864">
      <c r="A864" s="8" t="n"/>
      <c r="B864" s="6" t="n"/>
      <c r="C864" s="6" t="n"/>
      <c r="D864" s="6" t="n"/>
      <c r="E864" s="7" t="n"/>
      <c r="F864" s="7" t="n"/>
      <c r="G864" s="7" t="n"/>
      <c r="H864" s="3">
        <f>IFERROR(VLOOKUP(B864,Inventory!$A:$B,2,FALSE)*D864,0)</f>
        <v/>
      </c>
      <c r="I864" s="3">
        <f>IF(C864="",0,IFERROR(VLOOKUP(C864,Settings!$A$2:$F$5,2,FALSE)+(E864*D864+F864)*VLOOKUP(C864,Settings!$A$2:$F$5,3,FALSE)/100+(E864*D864+F864)*VLOOKUP(C864,Settings!$A$2:$F$5,4,FALSE)/100+VLOOKUP(C864,Settings!$A$2:$F$5,5,FALSE)+VLOOKUP(C864,Settings!$A$2:$F$5,6,FALSE),0))</f>
        <v/>
      </c>
      <c r="J864" s="3">
        <f>IF(B864="","",IF(ISNA(MATCH(B864,Inventory!$A$2:$A$201,0)),"Check product",E864*D864+F864-I864-G864-H864))</f>
        <v/>
      </c>
      <c r="K864" s="4">
        <f>IF(OR(B864="",NOT(ISNUMBER(J864)),E864*D864+F864=0),"",J864/(E864*D864+F864))</f>
        <v/>
      </c>
    </row>
    <row r="865">
      <c r="A865" s="8" t="n"/>
      <c r="B865" s="6" t="n"/>
      <c r="C865" s="6" t="n"/>
      <c r="D865" s="6" t="n"/>
      <c r="E865" s="7" t="n"/>
      <c r="F865" s="7" t="n"/>
      <c r="G865" s="7" t="n"/>
      <c r="H865" s="3">
        <f>IFERROR(VLOOKUP(B865,Inventory!$A:$B,2,FALSE)*D865,0)</f>
        <v/>
      </c>
      <c r="I865" s="3">
        <f>IF(C865="",0,IFERROR(VLOOKUP(C865,Settings!$A$2:$F$5,2,FALSE)+(E865*D865+F865)*VLOOKUP(C865,Settings!$A$2:$F$5,3,FALSE)/100+(E865*D865+F865)*VLOOKUP(C865,Settings!$A$2:$F$5,4,FALSE)/100+VLOOKUP(C865,Settings!$A$2:$F$5,5,FALSE)+VLOOKUP(C865,Settings!$A$2:$F$5,6,FALSE),0))</f>
        <v/>
      </c>
      <c r="J865" s="3">
        <f>IF(B865="","",IF(ISNA(MATCH(B865,Inventory!$A$2:$A$201,0)),"Check product",E865*D865+F865-I865-G865-H865))</f>
        <v/>
      </c>
      <c r="K865" s="4">
        <f>IF(OR(B865="",NOT(ISNUMBER(J865)),E865*D865+F865=0),"",J865/(E865*D865+F865))</f>
        <v/>
      </c>
    </row>
    <row r="866">
      <c r="A866" s="8" t="n"/>
      <c r="B866" s="6" t="n"/>
      <c r="C866" s="6" t="n"/>
      <c r="D866" s="6" t="n"/>
      <c r="E866" s="7" t="n"/>
      <c r="F866" s="7" t="n"/>
      <c r="G866" s="7" t="n"/>
      <c r="H866" s="3">
        <f>IFERROR(VLOOKUP(B866,Inventory!$A:$B,2,FALSE)*D866,0)</f>
        <v/>
      </c>
      <c r="I866" s="3">
        <f>IF(C866="",0,IFERROR(VLOOKUP(C866,Settings!$A$2:$F$5,2,FALSE)+(E866*D866+F866)*VLOOKUP(C866,Settings!$A$2:$F$5,3,FALSE)/100+(E866*D866+F866)*VLOOKUP(C866,Settings!$A$2:$F$5,4,FALSE)/100+VLOOKUP(C866,Settings!$A$2:$F$5,5,FALSE)+VLOOKUP(C866,Settings!$A$2:$F$5,6,FALSE),0))</f>
        <v/>
      </c>
      <c r="J866" s="3">
        <f>IF(B866="","",IF(ISNA(MATCH(B866,Inventory!$A$2:$A$201,0)),"Check product",E866*D866+F866-I866-G866-H866))</f>
        <v/>
      </c>
      <c r="K866" s="4">
        <f>IF(OR(B866="",NOT(ISNUMBER(J866)),E866*D866+F866=0),"",J866/(E866*D866+F866))</f>
        <v/>
      </c>
    </row>
    <row r="867">
      <c r="A867" s="8" t="n"/>
      <c r="B867" s="6" t="n"/>
      <c r="C867" s="6" t="n"/>
      <c r="D867" s="6" t="n"/>
      <c r="E867" s="7" t="n"/>
      <c r="F867" s="7" t="n"/>
      <c r="G867" s="7" t="n"/>
      <c r="H867" s="3">
        <f>IFERROR(VLOOKUP(B867,Inventory!$A:$B,2,FALSE)*D867,0)</f>
        <v/>
      </c>
      <c r="I867" s="3">
        <f>IF(C867="",0,IFERROR(VLOOKUP(C867,Settings!$A$2:$F$5,2,FALSE)+(E867*D867+F867)*VLOOKUP(C867,Settings!$A$2:$F$5,3,FALSE)/100+(E867*D867+F867)*VLOOKUP(C867,Settings!$A$2:$F$5,4,FALSE)/100+VLOOKUP(C867,Settings!$A$2:$F$5,5,FALSE)+VLOOKUP(C867,Settings!$A$2:$F$5,6,FALSE),0))</f>
        <v/>
      </c>
      <c r="J867" s="3">
        <f>IF(B867="","",IF(ISNA(MATCH(B867,Inventory!$A$2:$A$201,0)),"Check product",E867*D867+F867-I867-G867-H867))</f>
        <v/>
      </c>
      <c r="K867" s="4">
        <f>IF(OR(B867="",NOT(ISNUMBER(J867)),E867*D867+F867=0),"",J867/(E867*D867+F867))</f>
        <v/>
      </c>
    </row>
    <row r="868">
      <c r="A868" s="8" t="n"/>
      <c r="B868" s="6" t="n"/>
      <c r="C868" s="6" t="n"/>
      <c r="D868" s="6" t="n"/>
      <c r="E868" s="7" t="n"/>
      <c r="F868" s="7" t="n"/>
      <c r="G868" s="7" t="n"/>
      <c r="H868" s="3">
        <f>IFERROR(VLOOKUP(B868,Inventory!$A:$B,2,FALSE)*D868,0)</f>
        <v/>
      </c>
      <c r="I868" s="3">
        <f>IF(C868="",0,IFERROR(VLOOKUP(C868,Settings!$A$2:$F$5,2,FALSE)+(E868*D868+F868)*VLOOKUP(C868,Settings!$A$2:$F$5,3,FALSE)/100+(E868*D868+F868)*VLOOKUP(C868,Settings!$A$2:$F$5,4,FALSE)/100+VLOOKUP(C868,Settings!$A$2:$F$5,5,FALSE)+VLOOKUP(C868,Settings!$A$2:$F$5,6,FALSE),0))</f>
        <v/>
      </c>
      <c r="J868" s="3">
        <f>IF(B868="","",IF(ISNA(MATCH(B868,Inventory!$A$2:$A$201,0)),"Check product",E868*D868+F868-I868-G868-H868))</f>
        <v/>
      </c>
      <c r="K868" s="4">
        <f>IF(OR(B868="",NOT(ISNUMBER(J868)),E868*D868+F868=0),"",J868/(E868*D868+F868))</f>
        <v/>
      </c>
    </row>
    <row r="869">
      <c r="A869" s="8" t="n"/>
      <c r="B869" s="6" t="n"/>
      <c r="C869" s="6" t="n"/>
      <c r="D869" s="6" t="n"/>
      <c r="E869" s="7" t="n"/>
      <c r="F869" s="7" t="n"/>
      <c r="G869" s="7" t="n"/>
      <c r="H869" s="3">
        <f>IFERROR(VLOOKUP(B869,Inventory!$A:$B,2,FALSE)*D869,0)</f>
        <v/>
      </c>
      <c r="I869" s="3">
        <f>IF(C869="",0,IFERROR(VLOOKUP(C869,Settings!$A$2:$F$5,2,FALSE)+(E869*D869+F869)*VLOOKUP(C869,Settings!$A$2:$F$5,3,FALSE)/100+(E869*D869+F869)*VLOOKUP(C869,Settings!$A$2:$F$5,4,FALSE)/100+VLOOKUP(C869,Settings!$A$2:$F$5,5,FALSE)+VLOOKUP(C869,Settings!$A$2:$F$5,6,FALSE),0))</f>
        <v/>
      </c>
      <c r="J869" s="3">
        <f>IF(B869="","",IF(ISNA(MATCH(B869,Inventory!$A$2:$A$201,0)),"Check product",E869*D869+F869-I869-G869-H869))</f>
        <v/>
      </c>
      <c r="K869" s="4">
        <f>IF(OR(B869="",NOT(ISNUMBER(J869)),E869*D869+F869=0),"",J869/(E869*D869+F869))</f>
        <v/>
      </c>
    </row>
    <row r="870">
      <c r="A870" s="8" t="n"/>
      <c r="B870" s="6" t="n"/>
      <c r="C870" s="6" t="n"/>
      <c r="D870" s="6" t="n"/>
      <c r="E870" s="7" t="n"/>
      <c r="F870" s="7" t="n"/>
      <c r="G870" s="7" t="n"/>
      <c r="H870" s="3">
        <f>IFERROR(VLOOKUP(B870,Inventory!$A:$B,2,FALSE)*D870,0)</f>
        <v/>
      </c>
      <c r="I870" s="3">
        <f>IF(C870="",0,IFERROR(VLOOKUP(C870,Settings!$A$2:$F$5,2,FALSE)+(E870*D870+F870)*VLOOKUP(C870,Settings!$A$2:$F$5,3,FALSE)/100+(E870*D870+F870)*VLOOKUP(C870,Settings!$A$2:$F$5,4,FALSE)/100+VLOOKUP(C870,Settings!$A$2:$F$5,5,FALSE)+VLOOKUP(C870,Settings!$A$2:$F$5,6,FALSE),0))</f>
        <v/>
      </c>
      <c r="J870" s="3">
        <f>IF(B870="","",IF(ISNA(MATCH(B870,Inventory!$A$2:$A$201,0)),"Check product",E870*D870+F870-I870-G870-H870))</f>
        <v/>
      </c>
      <c r="K870" s="4">
        <f>IF(OR(B870="",NOT(ISNUMBER(J870)),E870*D870+F870=0),"",J870/(E870*D870+F870))</f>
        <v/>
      </c>
    </row>
    <row r="871">
      <c r="A871" s="8" t="n"/>
      <c r="B871" s="6" t="n"/>
      <c r="C871" s="6" t="n"/>
      <c r="D871" s="6" t="n"/>
      <c r="E871" s="7" t="n"/>
      <c r="F871" s="7" t="n"/>
      <c r="G871" s="7" t="n"/>
      <c r="H871" s="3">
        <f>IFERROR(VLOOKUP(B871,Inventory!$A:$B,2,FALSE)*D871,0)</f>
        <v/>
      </c>
      <c r="I871" s="3">
        <f>IF(C871="",0,IFERROR(VLOOKUP(C871,Settings!$A$2:$F$5,2,FALSE)+(E871*D871+F871)*VLOOKUP(C871,Settings!$A$2:$F$5,3,FALSE)/100+(E871*D871+F871)*VLOOKUP(C871,Settings!$A$2:$F$5,4,FALSE)/100+VLOOKUP(C871,Settings!$A$2:$F$5,5,FALSE)+VLOOKUP(C871,Settings!$A$2:$F$5,6,FALSE),0))</f>
        <v/>
      </c>
      <c r="J871" s="3">
        <f>IF(B871="","",IF(ISNA(MATCH(B871,Inventory!$A$2:$A$201,0)),"Check product",E871*D871+F871-I871-G871-H871))</f>
        <v/>
      </c>
      <c r="K871" s="4">
        <f>IF(OR(B871="",NOT(ISNUMBER(J871)),E871*D871+F871=0),"",J871/(E871*D871+F871))</f>
        <v/>
      </c>
    </row>
    <row r="872">
      <c r="A872" s="8" t="n"/>
      <c r="B872" s="6" t="n"/>
      <c r="C872" s="6" t="n"/>
      <c r="D872" s="6" t="n"/>
      <c r="E872" s="7" t="n"/>
      <c r="F872" s="7" t="n"/>
      <c r="G872" s="7" t="n"/>
      <c r="H872" s="3">
        <f>IFERROR(VLOOKUP(B872,Inventory!$A:$B,2,FALSE)*D872,0)</f>
        <v/>
      </c>
      <c r="I872" s="3">
        <f>IF(C872="",0,IFERROR(VLOOKUP(C872,Settings!$A$2:$F$5,2,FALSE)+(E872*D872+F872)*VLOOKUP(C872,Settings!$A$2:$F$5,3,FALSE)/100+(E872*D872+F872)*VLOOKUP(C872,Settings!$A$2:$F$5,4,FALSE)/100+VLOOKUP(C872,Settings!$A$2:$F$5,5,FALSE)+VLOOKUP(C872,Settings!$A$2:$F$5,6,FALSE),0))</f>
        <v/>
      </c>
      <c r="J872" s="3">
        <f>IF(B872="","",IF(ISNA(MATCH(B872,Inventory!$A$2:$A$201,0)),"Check product",E872*D872+F872-I872-G872-H872))</f>
        <v/>
      </c>
      <c r="K872" s="4">
        <f>IF(OR(B872="",NOT(ISNUMBER(J872)),E872*D872+F872=0),"",J872/(E872*D872+F872))</f>
        <v/>
      </c>
    </row>
    <row r="873">
      <c r="A873" s="8" t="n"/>
      <c r="B873" s="6" t="n"/>
      <c r="C873" s="6" t="n"/>
      <c r="D873" s="6" t="n"/>
      <c r="E873" s="7" t="n"/>
      <c r="F873" s="7" t="n"/>
      <c r="G873" s="7" t="n"/>
      <c r="H873" s="3">
        <f>IFERROR(VLOOKUP(B873,Inventory!$A:$B,2,FALSE)*D873,0)</f>
        <v/>
      </c>
      <c r="I873" s="3">
        <f>IF(C873="",0,IFERROR(VLOOKUP(C873,Settings!$A$2:$F$5,2,FALSE)+(E873*D873+F873)*VLOOKUP(C873,Settings!$A$2:$F$5,3,FALSE)/100+(E873*D873+F873)*VLOOKUP(C873,Settings!$A$2:$F$5,4,FALSE)/100+VLOOKUP(C873,Settings!$A$2:$F$5,5,FALSE)+VLOOKUP(C873,Settings!$A$2:$F$5,6,FALSE),0))</f>
        <v/>
      </c>
      <c r="J873" s="3">
        <f>IF(B873="","",IF(ISNA(MATCH(B873,Inventory!$A$2:$A$201,0)),"Check product",E873*D873+F873-I873-G873-H873))</f>
        <v/>
      </c>
      <c r="K873" s="4">
        <f>IF(OR(B873="",NOT(ISNUMBER(J873)),E873*D873+F873=0),"",J873/(E873*D873+F873))</f>
        <v/>
      </c>
    </row>
    <row r="874">
      <c r="A874" s="8" t="n"/>
      <c r="B874" s="6" t="n"/>
      <c r="C874" s="6" t="n"/>
      <c r="D874" s="6" t="n"/>
      <c r="E874" s="7" t="n"/>
      <c r="F874" s="7" t="n"/>
      <c r="G874" s="7" t="n"/>
      <c r="H874" s="3">
        <f>IFERROR(VLOOKUP(B874,Inventory!$A:$B,2,FALSE)*D874,0)</f>
        <v/>
      </c>
      <c r="I874" s="3">
        <f>IF(C874="",0,IFERROR(VLOOKUP(C874,Settings!$A$2:$F$5,2,FALSE)+(E874*D874+F874)*VLOOKUP(C874,Settings!$A$2:$F$5,3,FALSE)/100+(E874*D874+F874)*VLOOKUP(C874,Settings!$A$2:$F$5,4,FALSE)/100+VLOOKUP(C874,Settings!$A$2:$F$5,5,FALSE)+VLOOKUP(C874,Settings!$A$2:$F$5,6,FALSE),0))</f>
        <v/>
      </c>
      <c r="J874" s="3">
        <f>IF(B874="","",IF(ISNA(MATCH(B874,Inventory!$A$2:$A$201,0)),"Check product",E874*D874+F874-I874-G874-H874))</f>
        <v/>
      </c>
      <c r="K874" s="4">
        <f>IF(OR(B874="",NOT(ISNUMBER(J874)),E874*D874+F874=0),"",J874/(E874*D874+F874))</f>
        <v/>
      </c>
    </row>
    <row r="875">
      <c r="A875" s="8" t="n"/>
      <c r="B875" s="6" t="n"/>
      <c r="C875" s="6" t="n"/>
      <c r="D875" s="6" t="n"/>
      <c r="E875" s="7" t="n"/>
      <c r="F875" s="7" t="n"/>
      <c r="G875" s="7" t="n"/>
      <c r="H875" s="3">
        <f>IFERROR(VLOOKUP(B875,Inventory!$A:$B,2,FALSE)*D875,0)</f>
        <v/>
      </c>
      <c r="I875" s="3">
        <f>IF(C875="",0,IFERROR(VLOOKUP(C875,Settings!$A$2:$F$5,2,FALSE)+(E875*D875+F875)*VLOOKUP(C875,Settings!$A$2:$F$5,3,FALSE)/100+(E875*D875+F875)*VLOOKUP(C875,Settings!$A$2:$F$5,4,FALSE)/100+VLOOKUP(C875,Settings!$A$2:$F$5,5,FALSE)+VLOOKUP(C875,Settings!$A$2:$F$5,6,FALSE),0))</f>
        <v/>
      </c>
      <c r="J875" s="3">
        <f>IF(B875="","",IF(ISNA(MATCH(B875,Inventory!$A$2:$A$201,0)),"Check product",E875*D875+F875-I875-G875-H875))</f>
        <v/>
      </c>
      <c r="K875" s="4">
        <f>IF(OR(B875="",NOT(ISNUMBER(J875)),E875*D875+F875=0),"",J875/(E875*D875+F875))</f>
        <v/>
      </c>
    </row>
    <row r="876">
      <c r="A876" s="8" t="n"/>
      <c r="B876" s="6" t="n"/>
      <c r="C876" s="6" t="n"/>
      <c r="D876" s="6" t="n"/>
      <c r="E876" s="7" t="n"/>
      <c r="F876" s="7" t="n"/>
      <c r="G876" s="7" t="n"/>
      <c r="H876" s="3">
        <f>IFERROR(VLOOKUP(B876,Inventory!$A:$B,2,FALSE)*D876,0)</f>
        <v/>
      </c>
      <c r="I876" s="3">
        <f>IF(C876="",0,IFERROR(VLOOKUP(C876,Settings!$A$2:$F$5,2,FALSE)+(E876*D876+F876)*VLOOKUP(C876,Settings!$A$2:$F$5,3,FALSE)/100+(E876*D876+F876)*VLOOKUP(C876,Settings!$A$2:$F$5,4,FALSE)/100+VLOOKUP(C876,Settings!$A$2:$F$5,5,FALSE)+VLOOKUP(C876,Settings!$A$2:$F$5,6,FALSE),0))</f>
        <v/>
      </c>
      <c r="J876" s="3">
        <f>IF(B876="","",IF(ISNA(MATCH(B876,Inventory!$A$2:$A$201,0)),"Check product",E876*D876+F876-I876-G876-H876))</f>
        <v/>
      </c>
      <c r="K876" s="4">
        <f>IF(OR(B876="",NOT(ISNUMBER(J876)),E876*D876+F876=0),"",J876/(E876*D876+F876))</f>
        <v/>
      </c>
    </row>
    <row r="877">
      <c r="A877" s="8" t="n"/>
      <c r="B877" s="6" t="n"/>
      <c r="C877" s="6" t="n"/>
      <c r="D877" s="6" t="n"/>
      <c r="E877" s="7" t="n"/>
      <c r="F877" s="7" t="n"/>
      <c r="G877" s="7" t="n"/>
      <c r="H877" s="3">
        <f>IFERROR(VLOOKUP(B877,Inventory!$A:$B,2,FALSE)*D877,0)</f>
        <v/>
      </c>
      <c r="I877" s="3">
        <f>IF(C877="",0,IFERROR(VLOOKUP(C877,Settings!$A$2:$F$5,2,FALSE)+(E877*D877+F877)*VLOOKUP(C877,Settings!$A$2:$F$5,3,FALSE)/100+(E877*D877+F877)*VLOOKUP(C877,Settings!$A$2:$F$5,4,FALSE)/100+VLOOKUP(C877,Settings!$A$2:$F$5,5,FALSE)+VLOOKUP(C877,Settings!$A$2:$F$5,6,FALSE),0))</f>
        <v/>
      </c>
      <c r="J877" s="3">
        <f>IF(B877="","",IF(ISNA(MATCH(B877,Inventory!$A$2:$A$201,0)),"Check product",E877*D877+F877-I877-G877-H877))</f>
        <v/>
      </c>
      <c r="K877" s="4">
        <f>IF(OR(B877="",NOT(ISNUMBER(J877)),E877*D877+F877=0),"",J877/(E877*D877+F877))</f>
        <v/>
      </c>
    </row>
    <row r="878">
      <c r="A878" s="8" t="n"/>
      <c r="B878" s="6" t="n"/>
      <c r="C878" s="6" t="n"/>
      <c r="D878" s="6" t="n"/>
      <c r="E878" s="7" t="n"/>
      <c r="F878" s="7" t="n"/>
      <c r="G878" s="7" t="n"/>
      <c r="H878" s="3">
        <f>IFERROR(VLOOKUP(B878,Inventory!$A:$B,2,FALSE)*D878,0)</f>
        <v/>
      </c>
      <c r="I878" s="3">
        <f>IF(C878="",0,IFERROR(VLOOKUP(C878,Settings!$A$2:$F$5,2,FALSE)+(E878*D878+F878)*VLOOKUP(C878,Settings!$A$2:$F$5,3,FALSE)/100+(E878*D878+F878)*VLOOKUP(C878,Settings!$A$2:$F$5,4,FALSE)/100+VLOOKUP(C878,Settings!$A$2:$F$5,5,FALSE)+VLOOKUP(C878,Settings!$A$2:$F$5,6,FALSE),0))</f>
        <v/>
      </c>
      <c r="J878" s="3">
        <f>IF(B878="","",IF(ISNA(MATCH(B878,Inventory!$A$2:$A$201,0)),"Check product",E878*D878+F878-I878-G878-H878))</f>
        <v/>
      </c>
      <c r="K878" s="4">
        <f>IF(OR(B878="",NOT(ISNUMBER(J878)),E878*D878+F878=0),"",J878/(E878*D878+F878))</f>
        <v/>
      </c>
    </row>
    <row r="879">
      <c r="A879" s="8" t="n"/>
      <c r="B879" s="6" t="n"/>
      <c r="C879" s="6" t="n"/>
      <c r="D879" s="6" t="n"/>
      <c r="E879" s="7" t="n"/>
      <c r="F879" s="7" t="n"/>
      <c r="G879" s="7" t="n"/>
      <c r="H879" s="3">
        <f>IFERROR(VLOOKUP(B879,Inventory!$A:$B,2,FALSE)*D879,0)</f>
        <v/>
      </c>
      <c r="I879" s="3">
        <f>IF(C879="",0,IFERROR(VLOOKUP(C879,Settings!$A$2:$F$5,2,FALSE)+(E879*D879+F879)*VLOOKUP(C879,Settings!$A$2:$F$5,3,FALSE)/100+(E879*D879+F879)*VLOOKUP(C879,Settings!$A$2:$F$5,4,FALSE)/100+VLOOKUP(C879,Settings!$A$2:$F$5,5,FALSE)+VLOOKUP(C879,Settings!$A$2:$F$5,6,FALSE),0))</f>
        <v/>
      </c>
      <c r="J879" s="3">
        <f>IF(B879="","",IF(ISNA(MATCH(B879,Inventory!$A$2:$A$201,0)),"Check product",E879*D879+F879-I879-G879-H879))</f>
        <v/>
      </c>
      <c r="K879" s="4">
        <f>IF(OR(B879="",NOT(ISNUMBER(J879)),E879*D879+F879=0),"",J879/(E879*D879+F879))</f>
        <v/>
      </c>
    </row>
    <row r="880">
      <c r="A880" s="8" t="n"/>
      <c r="B880" s="6" t="n"/>
      <c r="C880" s="6" t="n"/>
      <c r="D880" s="6" t="n"/>
      <c r="E880" s="7" t="n"/>
      <c r="F880" s="7" t="n"/>
      <c r="G880" s="7" t="n"/>
      <c r="H880" s="3">
        <f>IFERROR(VLOOKUP(B880,Inventory!$A:$B,2,FALSE)*D880,0)</f>
        <v/>
      </c>
      <c r="I880" s="3">
        <f>IF(C880="",0,IFERROR(VLOOKUP(C880,Settings!$A$2:$F$5,2,FALSE)+(E880*D880+F880)*VLOOKUP(C880,Settings!$A$2:$F$5,3,FALSE)/100+(E880*D880+F880)*VLOOKUP(C880,Settings!$A$2:$F$5,4,FALSE)/100+VLOOKUP(C880,Settings!$A$2:$F$5,5,FALSE)+VLOOKUP(C880,Settings!$A$2:$F$5,6,FALSE),0))</f>
        <v/>
      </c>
      <c r="J880" s="3">
        <f>IF(B880="","",IF(ISNA(MATCH(B880,Inventory!$A$2:$A$201,0)),"Check product",E880*D880+F880-I880-G880-H880))</f>
        <v/>
      </c>
      <c r="K880" s="4">
        <f>IF(OR(B880="",NOT(ISNUMBER(J880)),E880*D880+F880=0),"",J880/(E880*D880+F880))</f>
        <v/>
      </c>
    </row>
    <row r="881">
      <c r="A881" s="8" t="n"/>
      <c r="B881" s="6" t="n"/>
      <c r="C881" s="6" t="n"/>
      <c r="D881" s="6" t="n"/>
      <c r="E881" s="7" t="n"/>
      <c r="F881" s="7" t="n"/>
      <c r="G881" s="7" t="n"/>
      <c r="H881" s="3">
        <f>IFERROR(VLOOKUP(B881,Inventory!$A:$B,2,FALSE)*D881,0)</f>
        <v/>
      </c>
      <c r="I881" s="3">
        <f>IF(C881="",0,IFERROR(VLOOKUP(C881,Settings!$A$2:$F$5,2,FALSE)+(E881*D881+F881)*VLOOKUP(C881,Settings!$A$2:$F$5,3,FALSE)/100+(E881*D881+F881)*VLOOKUP(C881,Settings!$A$2:$F$5,4,FALSE)/100+VLOOKUP(C881,Settings!$A$2:$F$5,5,FALSE)+VLOOKUP(C881,Settings!$A$2:$F$5,6,FALSE),0))</f>
        <v/>
      </c>
      <c r="J881" s="3">
        <f>IF(B881="","",IF(ISNA(MATCH(B881,Inventory!$A$2:$A$201,0)),"Check product",E881*D881+F881-I881-G881-H881))</f>
        <v/>
      </c>
      <c r="K881" s="4">
        <f>IF(OR(B881="",NOT(ISNUMBER(J881)),E881*D881+F881=0),"",J881/(E881*D881+F881))</f>
        <v/>
      </c>
    </row>
    <row r="882">
      <c r="A882" s="8" t="n"/>
      <c r="B882" s="6" t="n"/>
      <c r="C882" s="6" t="n"/>
      <c r="D882" s="6" t="n"/>
      <c r="E882" s="7" t="n"/>
      <c r="F882" s="7" t="n"/>
      <c r="G882" s="7" t="n"/>
      <c r="H882" s="3">
        <f>IFERROR(VLOOKUP(B882,Inventory!$A:$B,2,FALSE)*D882,0)</f>
        <v/>
      </c>
      <c r="I882" s="3">
        <f>IF(C882="",0,IFERROR(VLOOKUP(C882,Settings!$A$2:$F$5,2,FALSE)+(E882*D882+F882)*VLOOKUP(C882,Settings!$A$2:$F$5,3,FALSE)/100+(E882*D882+F882)*VLOOKUP(C882,Settings!$A$2:$F$5,4,FALSE)/100+VLOOKUP(C882,Settings!$A$2:$F$5,5,FALSE)+VLOOKUP(C882,Settings!$A$2:$F$5,6,FALSE),0))</f>
        <v/>
      </c>
      <c r="J882" s="3">
        <f>IF(B882="","",IF(ISNA(MATCH(B882,Inventory!$A$2:$A$201,0)),"Check product",E882*D882+F882-I882-G882-H882))</f>
        <v/>
      </c>
      <c r="K882" s="4">
        <f>IF(OR(B882="",NOT(ISNUMBER(J882)),E882*D882+F882=0),"",J882/(E882*D882+F882))</f>
        <v/>
      </c>
    </row>
    <row r="883">
      <c r="A883" s="8" t="n"/>
      <c r="B883" s="6" t="n"/>
      <c r="C883" s="6" t="n"/>
      <c r="D883" s="6" t="n"/>
      <c r="E883" s="7" t="n"/>
      <c r="F883" s="7" t="n"/>
      <c r="G883" s="7" t="n"/>
      <c r="H883" s="3">
        <f>IFERROR(VLOOKUP(B883,Inventory!$A:$B,2,FALSE)*D883,0)</f>
        <v/>
      </c>
      <c r="I883" s="3">
        <f>IF(C883="",0,IFERROR(VLOOKUP(C883,Settings!$A$2:$F$5,2,FALSE)+(E883*D883+F883)*VLOOKUP(C883,Settings!$A$2:$F$5,3,FALSE)/100+(E883*D883+F883)*VLOOKUP(C883,Settings!$A$2:$F$5,4,FALSE)/100+VLOOKUP(C883,Settings!$A$2:$F$5,5,FALSE)+VLOOKUP(C883,Settings!$A$2:$F$5,6,FALSE),0))</f>
        <v/>
      </c>
      <c r="J883" s="3">
        <f>IF(B883="","",IF(ISNA(MATCH(B883,Inventory!$A$2:$A$201,0)),"Check product",E883*D883+F883-I883-G883-H883))</f>
        <v/>
      </c>
      <c r="K883" s="4">
        <f>IF(OR(B883="",NOT(ISNUMBER(J883)),E883*D883+F883=0),"",J883/(E883*D883+F883))</f>
        <v/>
      </c>
    </row>
    <row r="884">
      <c r="A884" s="8" t="n"/>
      <c r="B884" s="6" t="n"/>
      <c r="C884" s="6" t="n"/>
      <c r="D884" s="6" t="n"/>
      <c r="E884" s="7" t="n"/>
      <c r="F884" s="7" t="n"/>
      <c r="G884" s="7" t="n"/>
      <c r="H884" s="3">
        <f>IFERROR(VLOOKUP(B884,Inventory!$A:$B,2,FALSE)*D884,0)</f>
        <v/>
      </c>
      <c r="I884" s="3">
        <f>IF(C884="",0,IFERROR(VLOOKUP(C884,Settings!$A$2:$F$5,2,FALSE)+(E884*D884+F884)*VLOOKUP(C884,Settings!$A$2:$F$5,3,FALSE)/100+(E884*D884+F884)*VLOOKUP(C884,Settings!$A$2:$F$5,4,FALSE)/100+VLOOKUP(C884,Settings!$A$2:$F$5,5,FALSE)+VLOOKUP(C884,Settings!$A$2:$F$5,6,FALSE),0))</f>
        <v/>
      </c>
      <c r="J884" s="3">
        <f>IF(B884="","",IF(ISNA(MATCH(B884,Inventory!$A$2:$A$201,0)),"Check product",E884*D884+F884-I884-G884-H884))</f>
        <v/>
      </c>
      <c r="K884" s="4">
        <f>IF(OR(B884="",NOT(ISNUMBER(J884)),E884*D884+F884=0),"",J884/(E884*D884+F884))</f>
        <v/>
      </c>
    </row>
    <row r="885">
      <c r="A885" s="8" t="n"/>
      <c r="B885" s="6" t="n"/>
      <c r="C885" s="6" t="n"/>
      <c r="D885" s="6" t="n"/>
      <c r="E885" s="7" t="n"/>
      <c r="F885" s="7" t="n"/>
      <c r="G885" s="7" t="n"/>
      <c r="H885" s="3">
        <f>IFERROR(VLOOKUP(B885,Inventory!$A:$B,2,FALSE)*D885,0)</f>
        <v/>
      </c>
      <c r="I885" s="3">
        <f>IF(C885="",0,IFERROR(VLOOKUP(C885,Settings!$A$2:$F$5,2,FALSE)+(E885*D885+F885)*VLOOKUP(C885,Settings!$A$2:$F$5,3,FALSE)/100+(E885*D885+F885)*VLOOKUP(C885,Settings!$A$2:$F$5,4,FALSE)/100+VLOOKUP(C885,Settings!$A$2:$F$5,5,FALSE)+VLOOKUP(C885,Settings!$A$2:$F$5,6,FALSE),0))</f>
        <v/>
      </c>
      <c r="J885" s="3">
        <f>IF(B885="","",IF(ISNA(MATCH(B885,Inventory!$A$2:$A$201,0)),"Check product",E885*D885+F885-I885-G885-H885))</f>
        <v/>
      </c>
      <c r="K885" s="4">
        <f>IF(OR(B885="",NOT(ISNUMBER(J885)),E885*D885+F885=0),"",J885/(E885*D885+F885))</f>
        <v/>
      </c>
    </row>
    <row r="886">
      <c r="A886" s="8" t="n"/>
      <c r="B886" s="6" t="n"/>
      <c r="C886" s="6" t="n"/>
      <c r="D886" s="6" t="n"/>
      <c r="E886" s="7" t="n"/>
      <c r="F886" s="7" t="n"/>
      <c r="G886" s="7" t="n"/>
      <c r="H886" s="3">
        <f>IFERROR(VLOOKUP(B886,Inventory!$A:$B,2,FALSE)*D886,0)</f>
        <v/>
      </c>
      <c r="I886" s="3">
        <f>IF(C886="",0,IFERROR(VLOOKUP(C886,Settings!$A$2:$F$5,2,FALSE)+(E886*D886+F886)*VLOOKUP(C886,Settings!$A$2:$F$5,3,FALSE)/100+(E886*D886+F886)*VLOOKUP(C886,Settings!$A$2:$F$5,4,FALSE)/100+VLOOKUP(C886,Settings!$A$2:$F$5,5,FALSE)+VLOOKUP(C886,Settings!$A$2:$F$5,6,FALSE),0))</f>
        <v/>
      </c>
      <c r="J886" s="3">
        <f>IF(B886="","",IF(ISNA(MATCH(B886,Inventory!$A$2:$A$201,0)),"Check product",E886*D886+F886-I886-G886-H886))</f>
        <v/>
      </c>
      <c r="K886" s="4">
        <f>IF(OR(B886="",NOT(ISNUMBER(J886)),E886*D886+F886=0),"",J886/(E886*D886+F886))</f>
        <v/>
      </c>
    </row>
    <row r="887">
      <c r="A887" s="8" t="n"/>
      <c r="B887" s="6" t="n"/>
      <c r="C887" s="6" t="n"/>
      <c r="D887" s="6" t="n"/>
      <c r="E887" s="7" t="n"/>
      <c r="F887" s="7" t="n"/>
      <c r="G887" s="7" t="n"/>
      <c r="H887" s="3">
        <f>IFERROR(VLOOKUP(B887,Inventory!$A:$B,2,FALSE)*D887,0)</f>
        <v/>
      </c>
      <c r="I887" s="3">
        <f>IF(C887="",0,IFERROR(VLOOKUP(C887,Settings!$A$2:$F$5,2,FALSE)+(E887*D887+F887)*VLOOKUP(C887,Settings!$A$2:$F$5,3,FALSE)/100+(E887*D887+F887)*VLOOKUP(C887,Settings!$A$2:$F$5,4,FALSE)/100+VLOOKUP(C887,Settings!$A$2:$F$5,5,FALSE)+VLOOKUP(C887,Settings!$A$2:$F$5,6,FALSE),0))</f>
        <v/>
      </c>
      <c r="J887" s="3">
        <f>IF(B887="","",IF(ISNA(MATCH(B887,Inventory!$A$2:$A$201,0)),"Check product",E887*D887+F887-I887-G887-H887))</f>
        <v/>
      </c>
      <c r="K887" s="4">
        <f>IF(OR(B887="",NOT(ISNUMBER(J887)),E887*D887+F887=0),"",J887/(E887*D887+F887))</f>
        <v/>
      </c>
    </row>
    <row r="888">
      <c r="A888" s="8" t="n"/>
      <c r="B888" s="6" t="n"/>
      <c r="C888" s="6" t="n"/>
      <c r="D888" s="6" t="n"/>
      <c r="E888" s="7" t="n"/>
      <c r="F888" s="7" t="n"/>
      <c r="G888" s="7" t="n"/>
      <c r="H888" s="3">
        <f>IFERROR(VLOOKUP(B888,Inventory!$A:$B,2,FALSE)*D888,0)</f>
        <v/>
      </c>
      <c r="I888" s="3">
        <f>IF(C888="",0,IFERROR(VLOOKUP(C888,Settings!$A$2:$F$5,2,FALSE)+(E888*D888+F888)*VLOOKUP(C888,Settings!$A$2:$F$5,3,FALSE)/100+(E888*D888+F888)*VLOOKUP(C888,Settings!$A$2:$F$5,4,FALSE)/100+VLOOKUP(C888,Settings!$A$2:$F$5,5,FALSE)+VLOOKUP(C888,Settings!$A$2:$F$5,6,FALSE),0))</f>
        <v/>
      </c>
      <c r="J888" s="3">
        <f>IF(B888="","",IF(ISNA(MATCH(B888,Inventory!$A$2:$A$201,0)),"Check product",E888*D888+F888-I888-G888-H888))</f>
        <v/>
      </c>
      <c r="K888" s="4">
        <f>IF(OR(B888="",NOT(ISNUMBER(J888)),E888*D888+F888=0),"",J888/(E888*D888+F888))</f>
        <v/>
      </c>
    </row>
    <row r="889">
      <c r="A889" s="8" t="n"/>
      <c r="B889" s="6" t="n"/>
      <c r="C889" s="6" t="n"/>
      <c r="D889" s="6" t="n"/>
      <c r="E889" s="7" t="n"/>
      <c r="F889" s="7" t="n"/>
      <c r="G889" s="7" t="n"/>
      <c r="H889" s="3">
        <f>IFERROR(VLOOKUP(B889,Inventory!$A:$B,2,FALSE)*D889,0)</f>
        <v/>
      </c>
      <c r="I889" s="3">
        <f>IF(C889="",0,IFERROR(VLOOKUP(C889,Settings!$A$2:$F$5,2,FALSE)+(E889*D889+F889)*VLOOKUP(C889,Settings!$A$2:$F$5,3,FALSE)/100+(E889*D889+F889)*VLOOKUP(C889,Settings!$A$2:$F$5,4,FALSE)/100+VLOOKUP(C889,Settings!$A$2:$F$5,5,FALSE)+VLOOKUP(C889,Settings!$A$2:$F$5,6,FALSE),0))</f>
        <v/>
      </c>
      <c r="J889" s="3">
        <f>IF(B889="","",IF(ISNA(MATCH(B889,Inventory!$A$2:$A$201,0)),"Check product",E889*D889+F889-I889-G889-H889))</f>
        <v/>
      </c>
      <c r="K889" s="4">
        <f>IF(OR(B889="",NOT(ISNUMBER(J889)),E889*D889+F889=0),"",J889/(E889*D889+F889))</f>
        <v/>
      </c>
    </row>
    <row r="890">
      <c r="A890" s="8" t="n"/>
      <c r="B890" s="6" t="n"/>
      <c r="C890" s="6" t="n"/>
      <c r="D890" s="6" t="n"/>
      <c r="E890" s="7" t="n"/>
      <c r="F890" s="7" t="n"/>
      <c r="G890" s="7" t="n"/>
      <c r="H890" s="3">
        <f>IFERROR(VLOOKUP(B890,Inventory!$A:$B,2,FALSE)*D890,0)</f>
        <v/>
      </c>
      <c r="I890" s="3">
        <f>IF(C890="",0,IFERROR(VLOOKUP(C890,Settings!$A$2:$F$5,2,FALSE)+(E890*D890+F890)*VLOOKUP(C890,Settings!$A$2:$F$5,3,FALSE)/100+(E890*D890+F890)*VLOOKUP(C890,Settings!$A$2:$F$5,4,FALSE)/100+VLOOKUP(C890,Settings!$A$2:$F$5,5,FALSE)+VLOOKUP(C890,Settings!$A$2:$F$5,6,FALSE),0))</f>
        <v/>
      </c>
      <c r="J890" s="3">
        <f>IF(B890="","",IF(ISNA(MATCH(B890,Inventory!$A$2:$A$201,0)),"Check product",E890*D890+F890-I890-G890-H890))</f>
        <v/>
      </c>
      <c r="K890" s="4">
        <f>IF(OR(B890="",NOT(ISNUMBER(J890)),E890*D890+F890=0),"",J890/(E890*D890+F890))</f>
        <v/>
      </c>
    </row>
    <row r="891">
      <c r="A891" s="8" t="n"/>
      <c r="B891" s="6" t="n"/>
      <c r="C891" s="6" t="n"/>
      <c r="D891" s="6" t="n"/>
      <c r="E891" s="7" t="n"/>
      <c r="F891" s="7" t="n"/>
      <c r="G891" s="7" t="n"/>
      <c r="H891" s="3">
        <f>IFERROR(VLOOKUP(B891,Inventory!$A:$B,2,FALSE)*D891,0)</f>
        <v/>
      </c>
      <c r="I891" s="3">
        <f>IF(C891="",0,IFERROR(VLOOKUP(C891,Settings!$A$2:$F$5,2,FALSE)+(E891*D891+F891)*VLOOKUP(C891,Settings!$A$2:$F$5,3,FALSE)/100+(E891*D891+F891)*VLOOKUP(C891,Settings!$A$2:$F$5,4,FALSE)/100+VLOOKUP(C891,Settings!$A$2:$F$5,5,FALSE)+VLOOKUP(C891,Settings!$A$2:$F$5,6,FALSE),0))</f>
        <v/>
      </c>
      <c r="J891" s="3">
        <f>IF(B891="","",IF(ISNA(MATCH(B891,Inventory!$A$2:$A$201,0)),"Check product",E891*D891+F891-I891-G891-H891))</f>
        <v/>
      </c>
      <c r="K891" s="4">
        <f>IF(OR(B891="",NOT(ISNUMBER(J891)),E891*D891+F891=0),"",J891/(E891*D891+F891))</f>
        <v/>
      </c>
    </row>
    <row r="892">
      <c r="A892" s="8" t="n"/>
      <c r="B892" s="6" t="n"/>
      <c r="C892" s="6" t="n"/>
      <c r="D892" s="6" t="n"/>
      <c r="E892" s="7" t="n"/>
      <c r="F892" s="7" t="n"/>
      <c r="G892" s="7" t="n"/>
      <c r="H892" s="3">
        <f>IFERROR(VLOOKUP(B892,Inventory!$A:$B,2,FALSE)*D892,0)</f>
        <v/>
      </c>
      <c r="I892" s="3">
        <f>IF(C892="",0,IFERROR(VLOOKUP(C892,Settings!$A$2:$F$5,2,FALSE)+(E892*D892+F892)*VLOOKUP(C892,Settings!$A$2:$F$5,3,FALSE)/100+(E892*D892+F892)*VLOOKUP(C892,Settings!$A$2:$F$5,4,FALSE)/100+VLOOKUP(C892,Settings!$A$2:$F$5,5,FALSE)+VLOOKUP(C892,Settings!$A$2:$F$5,6,FALSE),0))</f>
        <v/>
      </c>
      <c r="J892" s="3">
        <f>IF(B892="","",IF(ISNA(MATCH(B892,Inventory!$A$2:$A$201,0)),"Check product",E892*D892+F892-I892-G892-H892))</f>
        <v/>
      </c>
      <c r="K892" s="4">
        <f>IF(OR(B892="",NOT(ISNUMBER(J892)),E892*D892+F892=0),"",J892/(E892*D892+F892))</f>
        <v/>
      </c>
    </row>
    <row r="893">
      <c r="A893" s="8" t="n"/>
      <c r="B893" s="6" t="n"/>
      <c r="C893" s="6" t="n"/>
      <c r="D893" s="6" t="n"/>
      <c r="E893" s="7" t="n"/>
      <c r="F893" s="7" t="n"/>
      <c r="G893" s="7" t="n"/>
      <c r="H893" s="3">
        <f>IFERROR(VLOOKUP(B893,Inventory!$A:$B,2,FALSE)*D893,0)</f>
        <v/>
      </c>
      <c r="I893" s="3">
        <f>IF(C893="",0,IFERROR(VLOOKUP(C893,Settings!$A$2:$F$5,2,FALSE)+(E893*D893+F893)*VLOOKUP(C893,Settings!$A$2:$F$5,3,FALSE)/100+(E893*D893+F893)*VLOOKUP(C893,Settings!$A$2:$F$5,4,FALSE)/100+VLOOKUP(C893,Settings!$A$2:$F$5,5,FALSE)+VLOOKUP(C893,Settings!$A$2:$F$5,6,FALSE),0))</f>
        <v/>
      </c>
      <c r="J893" s="3">
        <f>IF(B893="","",IF(ISNA(MATCH(B893,Inventory!$A$2:$A$201,0)),"Check product",E893*D893+F893-I893-G893-H893))</f>
        <v/>
      </c>
      <c r="K893" s="4">
        <f>IF(OR(B893="",NOT(ISNUMBER(J893)),E893*D893+F893=0),"",J893/(E893*D893+F893))</f>
        <v/>
      </c>
    </row>
    <row r="894">
      <c r="A894" s="8" t="n"/>
      <c r="B894" s="6" t="n"/>
      <c r="C894" s="6" t="n"/>
      <c r="D894" s="6" t="n"/>
      <c r="E894" s="7" t="n"/>
      <c r="F894" s="7" t="n"/>
      <c r="G894" s="7" t="n"/>
      <c r="H894" s="3">
        <f>IFERROR(VLOOKUP(B894,Inventory!$A:$B,2,FALSE)*D894,0)</f>
        <v/>
      </c>
      <c r="I894" s="3">
        <f>IF(C894="",0,IFERROR(VLOOKUP(C894,Settings!$A$2:$F$5,2,FALSE)+(E894*D894+F894)*VLOOKUP(C894,Settings!$A$2:$F$5,3,FALSE)/100+(E894*D894+F894)*VLOOKUP(C894,Settings!$A$2:$F$5,4,FALSE)/100+VLOOKUP(C894,Settings!$A$2:$F$5,5,FALSE)+VLOOKUP(C894,Settings!$A$2:$F$5,6,FALSE),0))</f>
        <v/>
      </c>
      <c r="J894" s="3">
        <f>IF(B894="","",IF(ISNA(MATCH(B894,Inventory!$A$2:$A$201,0)),"Check product",E894*D894+F894-I894-G894-H894))</f>
        <v/>
      </c>
      <c r="K894" s="4">
        <f>IF(OR(B894="",NOT(ISNUMBER(J894)),E894*D894+F894=0),"",J894/(E894*D894+F894))</f>
        <v/>
      </c>
    </row>
    <row r="895">
      <c r="A895" s="8" t="n"/>
      <c r="B895" s="6" t="n"/>
      <c r="C895" s="6" t="n"/>
      <c r="D895" s="6" t="n"/>
      <c r="E895" s="7" t="n"/>
      <c r="F895" s="7" t="n"/>
      <c r="G895" s="7" t="n"/>
      <c r="H895" s="3">
        <f>IFERROR(VLOOKUP(B895,Inventory!$A:$B,2,FALSE)*D895,0)</f>
        <v/>
      </c>
      <c r="I895" s="3">
        <f>IF(C895="",0,IFERROR(VLOOKUP(C895,Settings!$A$2:$F$5,2,FALSE)+(E895*D895+F895)*VLOOKUP(C895,Settings!$A$2:$F$5,3,FALSE)/100+(E895*D895+F895)*VLOOKUP(C895,Settings!$A$2:$F$5,4,FALSE)/100+VLOOKUP(C895,Settings!$A$2:$F$5,5,FALSE)+VLOOKUP(C895,Settings!$A$2:$F$5,6,FALSE),0))</f>
        <v/>
      </c>
      <c r="J895" s="3">
        <f>IF(B895="","",IF(ISNA(MATCH(B895,Inventory!$A$2:$A$201,0)),"Check product",E895*D895+F895-I895-G895-H895))</f>
        <v/>
      </c>
      <c r="K895" s="4">
        <f>IF(OR(B895="",NOT(ISNUMBER(J895)),E895*D895+F895=0),"",J895/(E895*D895+F895))</f>
        <v/>
      </c>
    </row>
    <row r="896">
      <c r="A896" s="8" t="n"/>
      <c r="B896" s="6" t="n"/>
      <c r="C896" s="6" t="n"/>
      <c r="D896" s="6" t="n"/>
      <c r="E896" s="7" t="n"/>
      <c r="F896" s="7" t="n"/>
      <c r="G896" s="7" t="n"/>
      <c r="H896" s="3">
        <f>IFERROR(VLOOKUP(B896,Inventory!$A:$B,2,FALSE)*D896,0)</f>
        <v/>
      </c>
      <c r="I896" s="3">
        <f>IF(C896="",0,IFERROR(VLOOKUP(C896,Settings!$A$2:$F$5,2,FALSE)+(E896*D896+F896)*VLOOKUP(C896,Settings!$A$2:$F$5,3,FALSE)/100+(E896*D896+F896)*VLOOKUP(C896,Settings!$A$2:$F$5,4,FALSE)/100+VLOOKUP(C896,Settings!$A$2:$F$5,5,FALSE)+VLOOKUP(C896,Settings!$A$2:$F$5,6,FALSE),0))</f>
        <v/>
      </c>
      <c r="J896" s="3">
        <f>IF(B896="","",IF(ISNA(MATCH(B896,Inventory!$A$2:$A$201,0)),"Check product",E896*D896+F896-I896-G896-H896))</f>
        <v/>
      </c>
      <c r="K896" s="4">
        <f>IF(OR(B896="",NOT(ISNUMBER(J896)),E896*D896+F896=0),"",J896/(E896*D896+F896))</f>
        <v/>
      </c>
    </row>
    <row r="897">
      <c r="A897" s="8" t="n"/>
      <c r="B897" s="6" t="n"/>
      <c r="C897" s="6" t="n"/>
      <c r="D897" s="6" t="n"/>
      <c r="E897" s="7" t="n"/>
      <c r="F897" s="7" t="n"/>
      <c r="G897" s="7" t="n"/>
      <c r="H897" s="3">
        <f>IFERROR(VLOOKUP(B897,Inventory!$A:$B,2,FALSE)*D897,0)</f>
        <v/>
      </c>
      <c r="I897" s="3">
        <f>IF(C897="",0,IFERROR(VLOOKUP(C897,Settings!$A$2:$F$5,2,FALSE)+(E897*D897+F897)*VLOOKUP(C897,Settings!$A$2:$F$5,3,FALSE)/100+(E897*D897+F897)*VLOOKUP(C897,Settings!$A$2:$F$5,4,FALSE)/100+VLOOKUP(C897,Settings!$A$2:$F$5,5,FALSE)+VLOOKUP(C897,Settings!$A$2:$F$5,6,FALSE),0))</f>
        <v/>
      </c>
      <c r="J897" s="3">
        <f>IF(B897="","",IF(ISNA(MATCH(B897,Inventory!$A$2:$A$201,0)),"Check product",E897*D897+F897-I897-G897-H897))</f>
        <v/>
      </c>
      <c r="K897" s="4">
        <f>IF(OR(B897="",NOT(ISNUMBER(J897)),E897*D897+F897=0),"",J897/(E897*D897+F897))</f>
        <v/>
      </c>
    </row>
    <row r="898">
      <c r="A898" s="8" t="n"/>
      <c r="B898" s="6" t="n"/>
      <c r="C898" s="6" t="n"/>
      <c r="D898" s="6" t="n"/>
      <c r="E898" s="7" t="n"/>
      <c r="F898" s="7" t="n"/>
      <c r="G898" s="7" t="n"/>
      <c r="H898" s="3">
        <f>IFERROR(VLOOKUP(B898,Inventory!$A:$B,2,FALSE)*D898,0)</f>
        <v/>
      </c>
      <c r="I898" s="3">
        <f>IF(C898="",0,IFERROR(VLOOKUP(C898,Settings!$A$2:$F$5,2,FALSE)+(E898*D898+F898)*VLOOKUP(C898,Settings!$A$2:$F$5,3,FALSE)/100+(E898*D898+F898)*VLOOKUP(C898,Settings!$A$2:$F$5,4,FALSE)/100+VLOOKUP(C898,Settings!$A$2:$F$5,5,FALSE)+VLOOKUP(C898,Settings!$A$2:$F$5,6,FALSE),0))</f>
        <v/>
      </c>
      <c r="J898" s="3">
        <f>IF(B898="","",IF(ISNA(MATCH(B898,Inventory!$A$2:$A$201,0)),"Check product",E898*D898+F898-I898-G898-H898))</f>
        <v/>
      </c>
      <c r="K898" s="4">
        <f>IF(OR(B898="",NOT(ISNUMBER(J898)),E898*D898+F898=0),"",J898/(E898*D898+F898))</f>
        <v/>
      </c>
    </row>
    <row r="899">
      <c r="A899" s="8" t="n"/>
      <c r="B899" s="6" t="n"/>
      <c r="C899" s="6" t="n"/>
      <c r="D899" s="6" t="n"/>
      <c r="E899" s="7" t="n"/>
      <c r="F899" s="7" t="n"/>
      <c r="G899" s="7" t="n"/>
      <c r="H899" s="3">
        <f>IFERROR(VLOOKUP(B899,Inventory!$A:$B,2,FALSE)*D899,0)</f>
        <v/>
      </c>
      <c r="I899" s="3">
        <f>IF(C899="",0,IFERROR(VLOOKUP(C899,Settings!$A$2:$F$5,2,FALSE)+(E899*D899+F899)*VLOOKUP(C899,Settings!$A$2:$F$5,3,FALSE)/100+(E899*D899+F899)*VLOOKUP(C899,Settings!$A$2:$F$5,4,FALSE)/100+VLOOKUP(C899,Settings!$A$2:$F$5,5,FALSE)+VLOOKUP(C899,Settings!$A$2:$F$5,6,FALSE),0))</f>
        <v/>
      </c>
      <c r="J899" s="3">
        <f>IF(B899="","",IF(ISNA(MATCH(B899,Inventory!$A$2:$A$201,0)),"Check product",E899*D899+F899-I899-G899-H899))</f>
        <v/>
      </c>
      <c r="K899" s="4">
        <f>IF(OR(B899="",NOT(ISNUMBER(J899)),E899*D899+F899=0),"",J899/(E899*D899+F899))</f>
        <v/>
      </c>
    </row>
    <row r="900">
      <c r="A900" s="8" t="n"/>
      <c r="B900" s="6" t="n"/>
      <c r="C900" s="6" t="n"/>
      <c r="D900" s="6" t="n"/>
      <c r="E900" s="7" t="n"/>
      <c r="F900" s="7" t="n"/>
      <c r="G900" s="7" t="n"/>
      <c r="H900" s="3">
        <f>IFERROR(VLOOKUP(B900,Inventory!$A:$B,2,FALSE)*D900,0)</f>
        <v/>
      </c>
      <c r="I900" s="3">
        <f>IF(C900="",0,IFERROR(VLOOKUP(C900,Settings!$A$2:$F$5,2,FALSE)+(E900*D900+F900)*VLOOKUP(C900,Settings!$A$2:$F$5,3,FALSE)/100+(E900*D900+F900)*VLOOKUP(C900,Settings!$A$2:$F$5,4,FALSE)/100+VLOOKUP(C900,Settings!$A$2:$F$5,5,FALSE)+VLOOKUP(C900,Settings!$A$2:$F$5,6,FALSE),0))</f>
        <v/>
      </c>
      <c r="J900" s="3">
        <f>IF(B900="","",IF(ISNA(MATCH(B900,Inventory!$A$2:$A$201,0)),"Check product",E900*D900+F900-I900-G900-H900))</f>
        <v/>
      </c>
      <c r="K900" s="4">
        <f>IF(OR(B900="",NOT(ISNUMBER(J900)),E900*D900+F900=0),"",J900/(E900*D900+F900))</f>
        <v/>
      </c>
    </row>
    <row r="901">
      <c r="A901" s="8" t="n"/>
      <c r="B901" s="6" t="n"/>
      <c r="C901" s="6" t="n"/>
      <c r="D901" s="6" t="n"/>
      <c r="E901" s="7" t="n"/>
      <c r="F901" s="7" t="n"/>
      <c r="G901" s="7" t="n"/>
      <c r="H901" s="3">
        <f>IFERROR(VLOOKUP(B901,Inventory!$A:$B,2,FALSE)*D901,0)</f>
        <v/>
      </c>
      <c r="I901" s="3">
        <f>IF(C901="",0,IFERROR(VLOOKUP(C901,Settings!$A$2:$F$5,2,FALSE)+(E901*D901+F901)*VLOOKUP(C901,Settings!$A$2:$F$5,3,FALSE)/100+(E901*D901+F901)*VLOOKUP(C901,Settings!$A$2:$F$5,4,FALSE)/100+VLOOKUP(C901,Settings!$A$2:$F$5,5,FALSE)+VLOOKUP(C901,Settings!$A$2:$F$5,6,FALSE),0))</f>
        <v/>
      </c>
      <c r="J901" s="3">
        <f>IF(B901="","",IF(ISNA(MATCH(B901,Inventory!$A$2:$A$201,0)),"Check product",E901*D901+F901-I901-G901-H901))</f>
        <v/>
      </c>
      <c r="K901" s="4">
        <f>IF(OR(B901="",NOT(ISNUMBER(J901)),E901*D901+F901=0),"",J901/(E901*D901+F901))</f>
        <v/>
      </c>
    </row>
    <row r="902">
      <c r="A902" s="8" t="n"/>
      <c r="B902" s="6" t="n"/>
      <c r="C902" s="6" t="n"/>
      <c r="D902" s="6" t="n"/>
      <c r="E902" s="7" t="n"/>
      <c r="F902" s="7" t="n"/>
      <c r="G902" s="7" t="n"/>
      <c r="H902" s="3">
        <f>IFERROR(VLOOKUP(B902,Inventory!$A:$B,2,FALSE)*D902,0)</f>
        <v/>
      </c>
      <c r="I902" s="3">
        <f>IF(C902="",0,IFERROR(VLOOKUP(C902,Settings!$A$2:$F$5,2,FALSE)+(E902*D902+F902)*VLOOKUP(C902,Settings!$A$2:$F$5,3,FALSE)/100+(E902*D902+F902)*VLOOKUP(C902,Settings!$A$2:$F$5,4,FALSE)/100+VLOOKUP(C902,Settings!$A$2:$F$5,5,FALSE)+VLOOKUP(C902,Settings!$A$2:$F$5,6,FALSE),0))</f>
        <v/>
      </c>
      <c r="J902" s="3">
        <f>IF(B902="","",IF(ISNA(MATCH(B902,Inventory!$A$2:$A$201,0)),"Check product",E902*D902+F902-I902-G902-H902))</f>
        <v/>
      </c>
      <c r="K902" s="4">
        <f>IF(OR(B902="",NOT(ISNUMBER(J902)),E902*D902+F902=0),"",J902/(E902*D902+F902))</f>
        <v/>
      </c>
    </row>
    <row r="903">
      <c r="A903" s="8" t="n"/>
      <c r="B903" s="6" t="n"/>
      <c r="C903" s="6" t="n"/>
      <c r="D903" s="6" t="n"/>
      <c r="E903" s="7" t="n"/>
      <c r="F903" s="7" t="n"/>
      <c r="G903" s="7" t="n"/>
      <c r="H903" s="3">
        <f>IFERROR(VLOOKUP(B903,Inventory!$A:$B,2,FALSE)*D903,0)</f>
        <v/>
      </c>
      <c r="I903" s="3">
        <f>IF(C903="",0,IFERROR(VLOOKUP(C903,Settings!$A$2:$F$5,2,FALSE)+(E903*D903+F903)*VLOOKUP(C903,Settings!$A$2:$F$5,3,FALSE)/100+(E903*D903+F903)*VLOOKUP(C903,Settings!$A$2:$F$5,4,FALSE)/100+VLOOKUP(C903,Settings!$A$2:$F$5,5,FALSE)+VLOOKUP(C903,Settings!$A$2:$F$5,6,FALSE),0))</f>
        <v/>
      </c>
      <c r="J903" s="3">
        <f>IF(B903="","",IF(ISNA(MATCH(B903,Inventory!$A$2:$A$201,0)),"Check product",E903*D903+F903-I903-G903-H903))</f>
        <v/>
      </c>
      <c r="K903" s="4">
        <f>IF(OR(B903="",NOT(ISNUMBER(J903)),E903*D903+F903=0),"",J903/(E903*D903+F903))</f>
        <v/>
      </c>
    </row>
    <row r="904">
      <c r="A904" s="8" t="n"/>
      <c r="B904" s="6" t="n"/>
      <c r="C904" s="6" t="n"/>
      <c r="D904" s="6" t="n"/>
      <c r="E904" s="7" t="n"/>
      <c r="F904" s="7" t="n"/>
      <c r="G904" s="7" t="n"/>
      <c r="H904" s="3">
        <f>IFERROR(VLOOKUP(B904,Inventory!$A:$B,2,FALSE)*D904,0)</f>
        <v/>
      </c>
      <c r="I904" s="3">
        <f>IF(C904="",0,IFERROR(VLOOKUP(C904,Settings!$A$2:$F$5,2,FALSE)+(E904*D904+F904)*VLOOKUP(C904,Settings!$A$2:$F$5,3,FALSE)/100+(E904*D904+F904)*VLOOKUP(C904,Settings!$A$2:$F$5,4,FALSE)/100+VLOOKUP(C904,Settings!$A$2:$F$5,5,FALSE)+VLOOKUP(C904,Settings!$A$2:$F$5,6,FALSE),0))</f>
        <v/>
      </c>
      <c r="J904" s="3">
        <f>IF(B904="","",IF(ISNA(MATCH(B904,Inventory!$A$2:$A$201,0)),"Check product",E904*D904+F904-I904-G904-H904))</f>
        <v/>
      </c>
      <c r="K904" s="4">
        <f>IF(OR(B904="",NOT(ISNUMBER(J904)),E904*D904+F904=0),"",J904/(E904*D904+F904))</f>
        <v/>
      </c>
    </row>
    <row r="905">
      <c r="A905" s="8" t="n"/>
      <c r="B905" s="6" t="n"/>
      <c r="C905" s="6" t="n"/>
      <c r="D905" s="6" t="n"/>
      <c r="E905" s="7" t="n"/>
      <c r="F905" s="7" t="n"/>
      <c r="G905" s="7" t="n"/>
      <c r="H905" s="3">
        <f>IFERROR(VLOOKUP(B905,Inventory!$A:$B,2,FALSE)*D905,0)</f>
        <v/>
      </c>
      <c r="I905" s="3">
        <f>IF(C905="",0,IFERROR(VLOOKUP(C905,Settings!$A$2:$F$5,2,FALSE)+(E905*D905+F905)*VLOOKUP(C905,Settings!$A$2:$F$5,3,FALSE)/100+(E905*D905+F905)*VLOOKUP(C905,Settings!$A$2:$F$5,4,FALSE)/100+VLOOKUP(C905,Settings!$A$2:$F$5,5,FALSE)+VLOOKUP(C905,Settings!$A$2:$F$5,6,FALSE),0))</f>
        <v/>
      </c>
      <c r="J905" s="3">
        <f>IF(B905="","",IF(ISNA(MATCH(B905,Inventory!$A$2:$A$201,0)),"Check product",E905*D905+F905-I905-G905-H905))</f>
        <v/>
      </c>
      <c r="K905" s="4">
        <f>IF(OR(B905="",NOT(ISNUMBER(J905)),E905*D905+F905=0),"",J905/(E905*D905+F905))</f>
        <v/>
      </c>
    </row>
    <row r="906">
      <c r="A906" s="8" t="n"/>
      <c r="B906" s="6" t="n"/>
      <c r="C906" s="6" t="n"/>
      <c r="D906" s="6" t="n"/>
      <c r="E906" s="7" t="n"/>
      <c r="F906" s="7" t="n"/>
      <c r="G906" s="7" t="n"/>
      <c r="H906" s="3">
        <f>IFERROR(VLOOKUP(B906,Inventory!$A:$B,2,FALSE)*D906,0)</f>
        <v/>
      </c>
      <c r="I906" s="3">
        <f>IF(C906="",0,IFERROR(VLOOKUP(C906,Settings!$A$2:$F$5,2,FALSE)+(E906*D906+F906)*VLOOKUP(C906,Settings!$A$2:$F$5,3,FALSE)/100+(E906*D906+F906)*VLOOKUP(C906,Settings!$A$2:$F$5,4,FALSE)/100+VLOOKUP(C906,Settings!$A$2:$F$5,5,FALSE)+VLOOKUP(C906,Settings!$A$2:$F$5,6,FALSE),0))</f>
        <v/>
      </c>
      <c r="J906" s="3">
        <f>IF(B906="","",IF(ISNA(MATCH(B906,Inventory!$A$2:$A$201,0)),"Check product",E906*D906+F906-I906-G906-H906))</f>
        <v/>
      </c>
      <c r="K906" s="4">
        <f>IF(OR(B906="",NOT(ISNUMBER(J906)),E906*D906+F906=0),"",J906/(E906*D906+F906))</f>
        <v/>
      </c>
    </row>
    <row r="907">
      <c r="A907" s="8" t="n"/>
      <c r="B907" s="6" t="n"/>
      <c r="C907" s="6" t="n"/>
      <c r="D907" s="6" t="n"/>
      <c r="E907" s="7" t="n"/>
      <c r="F907" s="7" t="n"/>
      <c r="G907" s="7" t="n"/>
      <c r="H907" s="3">
        <f>IFERROR(VLOOKUP(B907,Inventory!$A:$B,2,FALSE)*D907,0)</f>
        <v/>
      </c>
      <c r="I907" s="3">
        <f>IF(C907="",0,IFERROR(VLOOKUP(C907,Settings!$A$2:$F$5,2,FALSE)+(E907*D907+F907)*VLOOKUP(C907,Settings!$A$2:$F$5,3,FALSE)/100+(E907*D907+F907)*VLOOKUP(C907,Settings!$A$2:$F$5,4,FALSE)/100+VLOOKUP(C907,Settings!$A$2:$F$5,5,FALSE)+VLOOKUP(C907,Settings!$A$2:$F$5,6,FALSE),0))</f>
        <v/>
      </c>
      <c r="J907" s="3">
        <f>IF(B907="","",IF(ISNA(MATCH(B907,Inventory!$A$2:$A$201,0)),"Check product",E907*D907+F907-I907-G907-H907))</f>
        <v/>
      </c>
      <c r="K907" s="4">
        <f>IF(OR(B907="",NOT(ISNUMBER(J907)),E907*D907+F907=0),"",J907/(E907*D907+F907))</f>
        <v/>
      </c>
    </row>
    <row r="908">
      <c r="A908" s="8" t="n"/>
      <c r="B908" s="6" t="n"/>
      <c r="C908" s="6" t="n"/>
      <c r="D908" s="6" t="n"/>
      <c r="E908" s="7" t="n"/>
      <c r="F908" s="7" t="n"/>
      <c r="G908" s="7" t="n"/>
      <c r="H908" s="3">
        <f>IFERROR(VLOOKUP(B908,Inventory!$A:$B,2,FALSE)*D908,0)</f>
        <v/>
      </c>
      <c r="I908" s="3">
        <f>IF(C908="",0,IFERROR(VLOOKUP(C908,Settings!$A$2:$F$5,2,FALSE)+(E908*D908+F908)*VLOOKUP(C908,Settings!$A$2:$F$5,3,FALSE)/100+(E908*D908+F908)*VLOOKUP(C908,Settings!$A$2:$F$5,4,FALSE)/100+VLOOKUP(C908,Settings!$A$2:$F$5,5,FALSE)+VLOOKUP(C908,Settings!$A$2:$F$5,6,FALSE),0))</f>
        <v/>
      </c>
      <c r="J908" s="3">
        <f>IF(B908="","",IF(ISNA(MATCH(B908,Inventory!$A$2:$A$201,0)),"Check product",E908*D908+F908-I908-G908-H908))</f>
        <v/>
      </c>
      <c r="K908" s="4">
        <f>IF(OR(B908="",NOT(ISNUMBER(J908)),E908*D908+F908=0),"",J908/(E908*D908+F908))</f>
        <v/>
      </c>
    </row>
    <row r="909">
      <c r="A909" s="8" t="n"/>
      <c r="B909" s="6" t="n"/>
      <c r="C909" s="6" t="n"/>
      <c r="D909" s="6" t="n"/>
      <c r="E909" s="7" t="n"/>
      <c r="F909" s="7" t="n"/>
      <c r="G909" s="7" t="n"/>
      <c r="H909" s="3">
        <f>IFERROR(VLOOKUP(B909,Inventory!$A:$B,2,FALSE)*D909,0)</f>
        <v/>
      </c>
      <c r="I909" s="3">
        <f>IF(C909="",0,IFERROR(VLOOKUP(C909,Settings!$A$2:$F$5,2,FALSE)+(E909*D909+F909)*VLOOKUP(C909,Settings!$A$2:$F$5,3,FALSE)/100+(E909*D909+F909)*VLOOKUP(C909,Settings!$A$2:$F$5,4,FALSE)/100+VLOOKUP(C909,Settings!$A$2:$F$5,5,FALSE)+VLOOKUP(C909,Settings!$A$2:$F$5,6,FALSE),0))</f>
        <v/>
      </c>
      <c r="J909" s="3">
        <f>IF(B909="","",IF(ISNA(MATCH(B909,Inventory!$A$2:$A$201,0)),"Check product",E909*D909+F909-I909-G909-H909))</f>
        <v/>
      </c>
      <c r="K909" s="4">
        <f>IF(OR(B909="",NOT(ISNUMBER(J909)),E909*D909+F909=0),"",J909/(E909*D909+F909))</f>
        <v/>
      </c>
    </row>
    <row r="910">
      <c r="A910" s="8" t="n"/>
      <c r="B910" s="6" t="n"/>
      <c r="C910" s="6" t="n"/>
      <c r="D910" s="6" t="n"/>
      <c r="E910" s="7" t="n"/>
      <c r="F910" s="7" t="n"/>
      <c r="G910" s="7" t="n"/>
      <c r="H910" s="3">
        <f>IFERROR(VLOOKUP(B910,Inventory!$A:$B,2,FALSE)*D910,0)</f>
        <v/>
      </c>
      <c r="I910" s="3">
        <f>IF(C910="",0,IFERROR(VLOOKUP(C910,Settings!$A$2:$F$5,2,FALSE)+(E910*D910+F910)*VLOOKUP(C910,Settings!$A$2:$F$5,3,FALSE)/100+(E910*D910+F910)*VLOOKUP(C910,Settings!$A$2:$F$5,4,FALSE)/100+VLOOKUP(C910,Settings!$A$2:$F$5,5,FALSE)+VLOOKUP(C910,Settings!$A$2:$F$5,6,FALSE),0))</f>
        <v/>
      </c>
      <c r="J910" s="3">
        <f>IF(B910="","",IF(ISNA(MATCH(B910,Inventory!$A$2:$A$201,0)),"Check product",E910*D910+F910-I910-G910-H910))</f>
        <v/>
      </c>
      <c r="K910" s="4">
        <f>IF(OR(B910="",NOT(ISNUMBER(J910)),E910*D910+F910=0),"",J910/(E910*D910+F910))</f>
        <v/>
      </c>
    </row>
    <row r="911">
      <c r="A911" s="8" t="n"/>
      <c r="B911" s="6" t="n"/>
      <c r="C911" s="6" t="n"/>
      <c r="D911" s="6" t="n"/>
      <c r="E911" s="7" t="n"/>
      <c r="F911" s="7" t="n"/>
      <c r="G911" s="7" t="n"/>
      <c r="H911" s="3">
        <f>IFERROR(VLOOKUP(B911,Inventory!$A:$B,2,FALSE)*D911,0)</f>
        <v/>
      </c>
      <c r="I911" s="3">
        <f>IF(C911="",0,IFERROR(VLOOKUP(C911,Settings!$A$2:$F$5,2,FALSE)+(E911*D911+F911)*VLOOKUP(C911,Settings!$A$2:$F$5,3,FALSE)/100+(E911*D911+F911)*VLOOKUP(C911,Settings!$A$2:$F$5,4,FALSE)/100+VLOOKUP(C911,Settings!$A$2:$F$5,5,FALSE)+VLOOKUP(C911,Settings!$A$2:$F$5,6,FALSE),0))</f>
        <v/>
      </c>
      <c r="J911" s="3">
        <f>IF(B911="","",IF(ISNA(MATCH(B911,Inventory!$A$2:$A$201,0)),"Check product",E911*D911+F911-I911-G911-H911))</f>
        <v/>
      </c>
      <c r="K911" s="4">
        <f>IF(OR(B911="",NOT(ISNUMBER(J911)),E911*D911+F911=0),"",J911/(E911*D911+F911))</f>
        <v/>
      </c>
    </row>
    <row r="912">
      <c r="A912" s="8" t="n"/>
      <c r="B912" s="6" t="n"/>
      <c r="C912" s="6" t="n"/>
      <c r="D912" s="6" t="n"/>
      <c r="E912" s="7" t="n"/>
      <c r="F912" s="7" t="n"/>
      <c r="G912" s="7" t="n"/>
      <c r="H912" s="3">
        <f>IFERROR(VLOOKUP(B912,Inventory!$A:$B,2,FALSE)*D912,0)</f>
        <v/>
      </c>
      <c r="I912" s="3">
        <f>IF(C912="",0,IFERROR(VLOOKUP(C912,Settings!$A$2:$F$5,2,FALSE)+(E912*D912+F912)*VLOOKUP(C912,Settings!$A$2:$F$5,3,FALSE)/100+(E912*D912+F912)*VLOOKUP(C912,Settings!$A$2:$F$5,4,FALSE)/100+VLOOKUP(C912,Settings!$A$2:$F$5,5,FALSE)+VLOOKUP(C912,Settings!$A$2:$F$5,6,FALSE),0))</f>
        <v/>
      </c>
      <c r="J912" s="3">
        <f>IF(B912="","",IF(ISNA(MATCH(B912,Inventory!$A$2:$A$201,0)),"Check product",E912*D912+F912-I912-G912-H912))</f>
        <v/>
      </c>
      <c r="K912" s="4">
        <f>IF(OR(B912="",NOT(ISNUMBER(J912)),E912*D912+F912=0),"",J912/(E912*D912+F912))</f>
        <v/>
      </c>
    </row>
    <row r="913">
      <c r="A913" s="8" t="n"/>
      <c r="B913" s="6" t="n"/>
      <c r="C913" s="6" t="n"/>
      <c r="D913" s="6" t="n"/>
      <c r="E913" s="7" t="n"/>
      <c r="F913" s="7" t="n"/>
      <c r="G913" s="7" t="n"/>
      <c r="H913" s="3">
        <f>IFERROR(VLOOKUP(B913,Inventory!$A:$B,2,FALSE)*D913,0)</f>
        <v/>
      </c>
      <c r="I913" s="3">
        <f>IF(C913="",0,IFERROR(VLOOKUP(C913,Settings!$A$2:$F$5,2,FALSE)+(E913*D913+F913)*VLOOKUP(C913,Settings!$A$2:$F$5,3,FALSE)/100+(E913*D913+F913)*VLOOKUP(C913,Settings!$A$2:$F$5,4,FALSE)/100+VLOOKUP(C913,Settings!$A$2:$F$5,5,FALSE)+VLOOKUP(C913,Settings!$A$2:$F$5,6,FALSE),0))</f>
        <v/>
      </c>
      <c r="J913" s="3">
        <f>IF(B913="","",IF(ISNA(MATCH(B913,Inventory!$A$2:$A$201,0)),"Check product",E913*D913+F913-I913-G913-H913))</f>
        <v/>
      </c>
      <c r="K913" s="4">
        <f>IF(OR(B913="",NOT(ISNUMBER(J913)),E913*D913+F913=0),"",J913/(E913*D913+F913))</f>
        <v/>
      </c>
    </row>
    <row r="914">
      <c r="A914" s="8" t="n"/>
      <c r="B914" s="6" t="n"/>
      <c r="C914" s="6" t="n"/>
      <c r="D914" s="6" t="n"/>
      <c r="E914" s="7" t="n"/>
      <c r="F914" s="7" t="n"/>
      <c r="G914" s="7" t="n"/>
      <c r="H914" s="3">
        <f>IFERROR(VLOOKUP(B914,Inventory!$A:$B,2,FALSE)*D914,0)</f>
        <v/>
      </c>
      <c r="I914" s="3">
        <f>IF(C914="",0,IFERROR(VLOOKUP(C914,Settings!$A$2:$F$5,2,FALSE)+(E914*D914+F914)*VLOOKUP(C914,Settings!$A$2:$F$5,3,FALSE)/100+(E914*D914+F914)*VLOOKUP(C914,Settings!$A$2:$F$5,4,FALSE)/100+VLOOKUP(C914,Settings!$A$2:$F$5,5,FALSE)+VLOOKUP(C914,Settings!$A$2:$F$5,6,FALSE),0))</f>
        <v/>
      </c>
      <c r="J914" s="3">
        <f>IF(B914="","",IF(ISNA(MATCH(B914,Inventory!$A$2:$A$201,0)),"Check product",E914*D914+F914-I914-G914-H914))</f>
        <v/>
      </c>
      <c r="K914" s="4">
        <f>IF(OR(B914="",NOT(ISNUMBER(J914)),E914*D914+F914=0),"",J914/(E914*D914+F914))</f>
        <v/>
      </c>
    </row>
    <row r="915">
      <c r="A915" s="8" t="n"/>
      <c r="B915" s="6" t="n"/>
      <c r="C915" s="6" t="n"/>
      <c r="D915" s="6" t="n"/>
      <c r="E915" s="7" t="n"/>
      <c r="F915" s="7" t="n"/>
      <c r="G915" s="7" t="n"/>
      <c r="H915" s="3">
        <f>IFERROR(VLOOKUP(B915,Inventory!$A:$B,2,FALSE)*D915,0)</f>
        <v/>
      </c>
      <c r="I915" s="3">
        <f>IF(C915="",0,IFERROR(VLOOKUP(C915,Settings!$A$2:$F$5,2,FALSE)+(E915*D915+F915)*VLOOKUP(C915,Settings!$A$2:$F$5,3,FALSE)/100+(E915*D915+F915)*VLOOKUP(C915,Settings!$A$2:$F$5,4,FALSE)/100+VLOOKUP(C915,Settings!$A$2:$F$5,5,FALSE)+VLOOKUP(C915,Settings!$A$2:$F$5,6,FALSE),0))</f>
        <v/>
      </c>
      <c r="J915" s="3">
        <f>IF(B915="","",IF(ISNA(MATCH(B915,Inventory!$A$2:$A$201,0)),"Check product",E915*D915+F915-I915-G915-H915))</f>
        <v/>
      </c>
      <c r="K915" s="4">
        <f>IF(OR(B915="",NOT(ISNUMBER(J915)),E915*D915+F915=0),"",J915/(E915*D915+F915))</f>
        <v/>
      </c>
    </row>
    <row r="916">
      <c r="A916" s="8" t="n"/>
      <c r="B916" s="6" t="n"/>
      <c r="C916" s="6" t="n"/>
      <c r="D916" s="6" t="n"/>
      <c r="E916" s="7" t="n"/>
      <c r="F916" s="7" t="n"/>
      <c r="G916" s="7" t="n"/>
      <c r="H916" s="3">
        <f>IFERROR(VLOOKUP(B916,Inventory!$A:$B,2,FALSE)*D916,0)</f>
        <v/>
      </c>
      <c r="I916" s="3">
        <f>IF(C916="",0,IFERROR(VLOOKUP(C916,Settings!$A$2:$F$5,2,FALSE)+(E916*D916+F916)*VLOOKUP(C916,Settings!$A$2:$F$5,3,FALSE)/100+(E916*D916+F916)*VLOOKUP(C916,Settings!$A$2:$F$5,4,FALSE)/100+VLOOKUP(C916,Settings!$A$2:$F$5,5,FALSE)+VLOOKUP(C916,Settings!$A$2:$F$5,6,FALSE),0))</f>
        <v/>
      </c>
      <c r="J916" s="3">
        <f>IF(B916="","",IF(ISNA(MATCH(B916,Inventory!$A$2:$A$201,0)),"Check product",E916*D916+F916-I916-G916-H916))</f>
        <v/>
      </c>
      <c r="K916" s="4">
        <f>IF(OR(B916="",NOT(ISNUMBER(J916)),E916*D916+F916=0),"",J916/(E916*D916+F916))</f>
        <v/>
      </c>
    </row>
    <row r="917">
      <c r="A917" s="8" t="n"/>
      <c r="B917" s="6" t="n"/>
      <c r="C917" s="6" t="n"/>
      <c r="D917" s="6" t="n"/>
      <c r="E917" s="7" t="n"/>
      <c r="F917" s="7" t="n"/>
      <c r="G917" s="7" t="n"/>
      <c r="H917" s="3">
        <f>IFERROR(VLOOKUP(B917,Inventory!$A:$B,2,FALSE)*D917,0)</f>
        <v/>
      </c>
      <c r="I917" s="3">
        <f>IF(C917="",0,IFERROR(VLOOKUP(C917,Settings!$A$2:$F$5,2,FALSE)+(E917*D917+F917)*VLOOKUP(C917,Settings!$A$2:$F$5,3,FALSE)/100+(E917*D917+F917)*VLOOKUP(C917,Settings!$A$2:$F$5,4,FALSE)/100+VLOOKUP(C917,Settings!$A$2:$F$5,5,FALSE)+VLOOKUP(C917,Settings!$A$2:$F$5,6,FALSE),0))</f>
        <v/>
      </c>
      <c r="J917" s="3">
        <f>IF(B917="","",IF(ISNA(MATCH(B917,Inventory!$A$2:$A$201,0)),"Check product",E917*D917+F917-I917-G917-H917))</f>
        <v/>
      </c>
      <c r="K917" s="4">
        <f>IF(OR(B917="",NOT(ISNUMBER(J917)),E917*D917+F917=0),"",J917/(E917*D917+F917))</f>
        <v/>
      </c>
    </row>
    <row r="918">
      <c r="A918" s="8" t="n"/>
      <c r="B918" s="6" t="n"/>
      <c r="C918" s="6" t="n"/>
      <c r="D918" s="6" t="n"/>
      <c r="E918" s="7" t="n"/>
      <c r="F918" s="7" t="n"/>
      <c r="G918" s="7" t="n"/>
      <c r="H918" s="3">
        <f>IFERROR(VLOOKUP(B918,Inventory!$A:$B,2,FALSE)*D918,0)</f>
        <v/>
      </c>
      <c r="I918" s="3">
        <f>IF(C918="",0,IFERROR(VLOOKUP(C918,Settings!$A$2:$F$5,2,FALSE)+(E918*D918+F918)*VLOOKUP(C918,Settings!$A$2:$F$5,3,FALSE)/100+(E918*D918+F918)*VLOOKUP(C918,Settings!$A$2:$F$5,4,FALSE)/100+VLOOKUP(C918,Settings!$A$2:$F$5,5,FALSE)+VLOOKUP(C918,Settings!$A$2:$F$5,6,FALSE),0))</f>
        <v/>
      </c>
      <c r="J918" s="3">
        <f>IF(B918="","",IF(ISNA(MATCH(B918,Inventory!$A$2:$A$201,0)),"Check product",E918*D918+F918-I918-G918-H918))</f>
        <v/>
      </c>
      <c r="K918" s="4">
        <f>IF(OR(B918="",NOT(ISNUMBER(J918)),E918*D918+F918=0),"",J918/(E918*D918+F918))</f>
        <v/>
      </c>
    </row>
    <row r="919">
      <c r="A919" s="8" t="n"/>
      <c r="B919" s="6" t="n"/>
      <c r="C919" s="6" t="n"/>
      <c r="D919" s="6" t="n"/>
      <c r="E919" s="7" t="n"/>
      <c r="F919" s="7" t="n"/>
      <c r="G919" s="7" t="n"/>
      <c r="H919" s="3">
        <f>IFERROR(VLOOKUP(B919,Inventory!$A:$B,2,FALSE)*D919,0)</f>
        <v/>
      </c>
      <c r="I919" s="3">
        <f>IF(C919="",0,IFERROR(VLOOKUP(C919,Settings!$A$2:$F$5,2,FALSE)+(E919*D919+F919)*VLOOKUP(C919,Settings!$A$2:$F$5,3,FALSE)/100+(E919*D919+F919)*VLOOKUP(C919,Settings!$A$2:$F$5,4,FALSE)/100+VLOOKUP(C919,Settings!$A$2:$F$5,5,FALSE)+VLOOKUP(C919,Settings!$A$2:$F$5,6,FALSE),0))</f>
        <v/>
      </c>
      <c r="J919" s="3">
        <f>IF(B919="","",IF(ISNA(MATCH(B919,Inventory!$A$2:$A$201,0)),"Check product",E919*D919+F919-I919-G919-H919))</f>
        <v/>
      </c>
      <c r="K919" s="4">
        <f>IF(OR(B919="",NOT(ISNUMBER(J919)),E919*D919+F919=0),"",J919/(E919*D919+F919))</f>
        <v/>
      </c>
    </row>
    <row r="920">
      <c r="A920" s="8" t="n"/>
      <c r="B920" s="6" t="n"/>
      <c r="C920" s="6" t="n"/>
      <c r="D920" s="6" t="n"/>
      <c r="E920" s="7" t="n"/>
      <c r="F920" s="7" t="n"/>
      <c r="G920" s="7" t="n"/>
      <c r="H920" s="3">
        <f>IFERROR(VLOOKUP(B920,Inventory!$A:$B,2,FALSE)*D920,0)</f>
        <v/>
      </c>
      <c r="I920" s="3">
        <f>IF(C920="",0,IFERROR(VLOOKUP(C920,Settings!$A$2:$F$5,2,FALSE)+(E920*D920+F920)*VLOOKUP(C920,Settings!$A$2:$F$5,3,FALSE)/100+(E920*D920+F920)*VLOOKUP(C920,Settings!$A$2:$F$5,4,FALSE)/100+VLOOKUP(C920,Settings!$A$2:$F$5,5,FALSE)+VLOOKUP(C920,Settings!$A$2:$F$5,6,FALSE),0))</f>
        <v/>
      </c>
      <c r="J920" s="3">
        <f>IF(B920="","",IF(ISNA(MATCH(B920,Inventory!$A$2:$A$201,0)),"Check product",E920*D920+F920-I920-G920-H920))</f>
        <v/>
      </c>
      <c r="K920" s="4">
        <f>IF(OR(B920="",NOT(ISNUMBER(J920)),E920*D920+F920=0),"",J920/(E920*D920+F920))</f>
        <v/>
      </c>
    </row>
    <row r="921">
      <c r="A921" s="8" t="n"/>
      <c r="B921" s="6" t="n"/>
      <c r="C921" s="6" t="n"/>
      <c r="D921" s="6" t="n"/>
      <c r="E921" s="7" t="n"/>
      <c r="F921" s="7" t="n"/>
      <c r="G921" s="7" t="n"/>
      <c r="H921" s="3">
        <f>IFERROR(VLOOKUP(B921,Inventory!$A:$B,2,FALSE)*D921,0)</f>
        <v/>
      </c>
      <c r="I921" s="3">
        <f>IF(C921="",0,IFERROR(VLOOKUP(C921,Settings!$A$2:$F$5,2,FALSE)+(E921*D921+F921)*VLOOKUP(C921,Settings!$A$2:$F$5,3,FALSE)/100+(E921*D921+F921)*VLOOKUP(C921,Settings!$A$2:$F$5,4,FALSE)/100+VLOOKUP(C921,Settings!$A$2:$F$5,5,FALSE)+VLOOKUP(C921,Settings!$A$2:$F$5,6,FALSE),0))</f>
        <v/>
      </c>
      <c r="J921" s="3">
        <f>IF(B921="","",IF(ISNA(MATCH(B921,Inventory!$A$2:$A$201,0)),"Check product",E921*D921+F921-I921-G921-H921))</f>
        <v/>
      </c>
      <c r="K921" s="4">
        <f>IF(OR(B921="",NOT(ISNUMBER(J921)),E921*D921+F921=0),"",J921/(E921*D921+F921))</f>
        <v/>
      </c>
    </row>
    <row r="922">
      <c r="A922" s="8" t="n"/>
      <c r="B922" s="6" t="n"/>
      <c r="C922" s="6" t="n"/>
      <c r="D922" s="6" t="n"/>
      <c r="E922" s="7" t="n"/>
      <c r="F922" s="7" t="n"/>
      <c r="G922" s="7" t="n"/>
      <c r="H922" s="3">
        <f>IFERROR(VLOOKUP(B922,Inventory!$A:$B,2,FALSE)*D922,0)</f>
        <v/>
      </c>
      <c r="I922" s="3">
        <f>IF(C922="",0,IFERROR(VLOOKUP(C922,Settings!$A$2:$F$5,2,FALSE)+(E922*D922+F922)*VLOOKUP(C922,Settings!$A$2:$F$5,3,FALSE)/100+(E922*D922+F922)*VLOOKUP(C922,Settings!$A$2:$F$5,4,FALSE)/100+VLOOKUP(C922,Settings!$A$2:$F$5,5,FALSE)+VLOOKUP(C922,Settings!$A$2:$F$5,6,FALSE),0))</f>
        <v/>
      </c>
      <c r="J922" s="3">
        <f>IF(B922="","",IF(ISNA(MATCH(B922,Inventory!$A$2:$A$201,0)),"Check product",E922*D922+F922-I922-G922-H922))</f>
        <v/>
      </c>
      <c r="K922" s="4">
        <f>IF(OR(B922="",NOT(ISNUMBER(J922)),E922*D922+F922=0),"",J922/(E922*D922+F922))</f>
        <v/>
      </c>
    </row>
    <row r="923">
      <c r="A923" s="8" t="n"/>
      <c r="B923" s="6" t="n"/>
      <c r="C923" s="6" t="n"/>
      <c r="D923" s="6" t="n"/>
      <c r="E923" s="7" t="n"/>
      <c r="F923" s="7" t="n"/>
      <c r="G923" s="7" t="n"/>
      <c r="H923" s="3">
        <f>IFERROR(VLOOKUP(B923,Inventory!$A:$B,2,FALSE)*D923,0)</f>
        <v/>
      </c>
      <c r="I923" s="3">
        <f>IF(C923="",0,IFERROR(VLOOKUP(C923,Settings!$A$2:$F$5,2,FALSE)+(E923*D923+F923)*VLOOKUP(C923,Settings!$A$2:$F$5,3,FALSE)/100+(E923*D923+F923)*VLOOKUP(C923,Settings!$A$2:$F$5,4,FALSE)/100+VLOOKUP(C923,Settings!$A$2:$F$5,5,FALSE)+VLOOKUP(C923,Settings!$A$2:$F$5,6,FALSE),0))</f>
        <v/>
      </c>
      <c r="J923" s="3">
        <f>IF(B923="","",IF(ISNA(MATCH(B923,Inventory!$A$2:$A$201,0)),"Check product",E923*D923+F923-I923-G923-H923))</f>
        <v/>
      </c>
      <c r="K923" s="4">
        <f>IF(OR(B923="",NOT(ISNUMBER(J923)),E923*D923+F923=0),"",J923/(E923*D923+F923))</f>
        <v/>
      </c>
    </row>
    <row r="924">
      <c r="A924" s="8" t="n"/>
      <c r="B924" s="6" t="n"/>
      <c r="C924" s="6" t="n"/>
      <c r="D924" s="6" t="n"/>
      <c r="E924" s="7" t="n"/>
      <c r="F924" s="7" t="n"/>
      <c r="G924" s="7" t="n"/>
      <c r="H924" s="3">
        <f>IFERROR(VLOOKUP(B924,Inventory!$A:$B,2,FALSE)*D924,0)</f>
        <v/>
      </c>
      <c r="I924" s="3">
        <f>IF(C924="",0,IFERROR(VLOOKUP(C924,Settings!$A$2:$F$5,2,FALSE)+(E924*D924+F924)*VLOOKUP(C924,Settings!$A$2:$F$5,3,FALSE)/100+(E924*D924+F924)*VLOOKUP(C924,Settings!$A$2:$F$5,4,FALSE)/100+VLOOKUP(C924,Settings!$A$2:$F$5,5,FALSE)+VLOOKUP(C924,Settings!$A$2:$F$5,6,FALSE),0))</f>
        <v/>
      </c>
      <c r="J924" s="3">
        <f>IF(B924="","",IF(ISNA(MATCH(B924,Inventory!$A$2:$A$201,0)),"Check product",E924*D924+F924-I924-G924-H924))</f>
        <v/>
      </c>
      <c r="K924" s="4">
        <f>IF(OR(B924="",NOT(ISNUMBER(J924)),E924*D924+F924=0),"",J924/(E924*D924+F924))</f>
        <v/>
      </c>
    </row>
    <row r="925">
      <c r="A925" s="8" t="n"/>
      <c r="B925" s="6" t="n"/>
      <c r="C925" s="6" t="n"/>
      <c r="D925" s="6" t="n"/>
      <c r="E925" s="7" t="n"/>
      <c r="F925" s="7" t="n"/>
      <c r="G925" s="7" t="n"/>
      <c r="H925" s="3">
        <f>IFERROR(VLOOKUP(B925,Inventory!$A:$B,2,FALSE)*D925,0)</f>
        <v/>
      </c>
      <c r="I925" s="3">
        <f>IF(C925="",0,IFERROR(VLOOKUP(C925,Settings!$A$2:$F$5,2,FALSE)+(E925*D925+F925)*VLOOKUP(C925,Settings!$A$2:$F$5,3,FALSE)/100+(E925*D925+F925)*VLOOKUP(C925,Settings!$A$2:$F$5,4,FALSE)/100+VLOOKUP(C925,Settings!$A$2:$F$5,5,FALSE)+VLOOKUP(C925,Settings!$A$2:$F$5,6,FALSE),0))</f>
        <v/>
      </c>
      <c r="J925" s="3">
        <f>IF(B925="","",IF(ISNA(MATCH(B925,Inventory!$A$2:$A$201,0)),"Check product",E925*D925+F925-I925-G925-H925))</f>
        <v/>
      </c>
      <c r="K925" s="4">
        <f>IF(OR(B925="",NOT(ISNUMBER(J925)),E925*D925+F925=0),"",J925/(E925*D925+F925))</f>
        <v/>
      </c>
    </row>
    <row r="926">
      <c r="A926" s="8" t="n"/>
      <c r="B926" s="6" t="n"/>
      <c r="C926" s="6" t="n"/>
      <c r="D926" s="6" t="n"/>
      <c r="E926" s="7" t="n"/>
      <c r="F926" s="7" t="n"/>
      <c r="G926" s="7" t="n"/>
      <c r="H926" s="3">
        <f>IFERROR(VLOOKUP(B926,Inventory!$A:$B,2,FALSE)*D926,0)</f>
        <v/>
      </c>
      <c r="I926" s="3">
        <f>IF(C926="",0,IFERROR(VLOOKUP(C926,Settings!$A$2:$F$5,2,FALSE)+(E926*D926+F926)*VLOOKUP(C926,Settings!$A$2:$F$5,3,FALSE)/100+(E926*D926+F926)*VLOOKUP(C926,Settings!$A$2:$F$5,4,FALSE)/100+VLOOKUP(C926,Settings!$A$2:$F$5,5,FALSE)+VLOOKUP(C926,Settings!$A$2:$F$5,6,FALSE),0))</f>
        <v/>
      </c>
      <c r="J926" s="3">
        <f>IF(B926="","",IF(ISNA(MATCH(B926,Inventory!$A$2:$A$201,0)),"Check product",E926*D926+F926-I926-G926-H926))</f>
        <v/>
      </c>
      <c r="K926" s="4">
        <f>IF(OR(B926="",NOT(ISNUMBER(J926)),E926*D926+F926=0),"",J926/(E926*D926+F926))</f>
        <v/>
      </c>
    </row>
    <row r="927">
      <c r="A927" s="8" t="n"/>
      <c r="B927" s="6" t="n"/>
      <c r="C927" s="6" t="n"/>
      <c r="D927" s="6" t="n"/>
      <c r="E927" s="7" t="n"/>
      <c r="F927" s="7" t="n"/>
      <c r="G927" s="7" t="n"/>
      <c r="H927" s="3">
        <f>IFERROR(VLOOKUP(B927,Inventory!$A:$B,2,FALSE)*D927,0)</f>
        <v/>
      </c>
      <c r="I927" s="3">
        <f>IF(C927="",0,IFERROR(VLOOKUP(C927,Settings!$A$2:$F$5,2,FALSE)+(E927*D927+F927)*VLOOKUP(C927,Settings!$A$2:$F$5,3,FALSE)/100+(E927*D927+F927)*VLOOKUP(C927,Settings!$A$2:$F$5,4,FALSE)/100+VLOOKUP(C927,Settings!$A$2:$F$5,5,FALSE)+VLOOKUP(C927,Settings!$A$2:$F$5,6,FALSE),0))</f>
        <v/>
      </c>
      <c r="J927" s="3">
        <f>IF(B927="","",IF(ISNA(MATCH(B927,Inventory!$A$2:$A$201,0)),"Check product",E927*D927+F927-I927-G927-H927))</f>
        <v/>
      </c>
      <c r="K927" s="4">
        <f>IF(OR(B927="",NOT(ISNUMBER(J927)),E927*D927+F927=0),"",J927/(E927*D927+F927))</f>
        <v/>
      </c>
    </row>
    <row r="928">
      <c r="A928" s="8" t="n"/>
      <c r="B928" s="6" t="n"/>
      <c r="C928" s="6" t="n"/>
      <c r="D928" s="6" t="n"/>
      <c r="E928" s="7" t="n"/>
      <c r="F928" s="7" t="n"/>
      <c r="G928" s="7" t="n"/>
      <c r="H928" s="3">
        <f>IFERROR(VLOOKUP(B928,Inventory!$A:$B,2,FALSE)*D928,0)</f>
        <v/>
      </c>
      <c r="I928" s="3">
        <f>IF(C928="",0,IFERROR(VLOOKUP(C928,Settings!$A$2:$F$5,2,FALSE)+(E928*D928+F928)*VLOOKUP(C928,Settings!$A$2:$F$5,3,FALSE)/100+(E928*D928+F928)*VLOOKUP(C928,Settings!$A$2:$F$5,4,FALSE)/100+VLOOKUP(C928,Settings!$A$2:$F$5,5,FALSE)+VLOOKUP(C928,Settings!$A$2:$F$5,6,FALSE),0))</f>
        <v/>
      </c>
      <c r="J928" s="3">
        <f>IF(B928="","",IF(ISNA(MATCH(B928,Inventory!$A$2:$A$201,0)),"Check product",E928*D928+F928-I928-G928-H928))</f>
        <v/>
      </c>
      <c r="K928" s="4">
        <f>IF(OR(B928="",NOT(ISNUMBER(J928)),E928*D928+F928=0),"",J928/(E928*D928+F928))</f>
        <v/>
      </c>
    </row>
    <row r="929">
      <c r="A929" s="8" t="n"/>
      <c r="B929" s="6" t="n"/>
      <c r="C929" s="6" t="n"/>
      <c r="D929" s="6" t="n"/>
      <c r="E929" s="7" t="n"/>
      <c r="F929" s="7" t="n"/>
      <c r="G929" s="7" t="n"/>
      <c r="H929" s="3">
        <f>IFERROR(VLOOKUP(B929,Inventory!$A:$B,2,FALSE)*D929,0)</f>
        <v/>
      </c>
      <c r="I929" s="3">
        <f>IF(C929="",0,IFERROR(VLOOKUP(C929,Settings!$A$2:$F$5,2,FALSE)+(E929*D929+F929)*VLOOKUP(C929,Settings!$A$2:$F$5,3,FALSE)/100+(E929*D929+F929)*VLOOKUP(C929,Settings!$A$2:$F$5,4,FALSE)/100+VLOOKUP(C929,Settings!$A$2:$F$5,5,FALSE)+VLOOKUP(C929,Settings!$A$2:$F$5,6,FALSE),0))</f>
        <v/>
      </c>
      <c r="J929" s="3">
        <f>IF(B929="","",IF(ISNA(MATCH(B929,Inventory!$A$2:$A$201,0)),"Check product",E929*D929+F929-I929-G929-H929))</f>
        <v/>
      </c>
      <c r="K929" s="4">
        <f>IF(OR(B929="",NOT(ISNUMBER(J929)),E929*D929+F929=0),"",J929/(E929*D929+F929))</f>
        <v/>
      </c>
    </row>
    <row r="930">
      <c r="A930" s="8" t="n"/>
      <c r="B930" s="6" t="n"/>
      <c r="C930" s="6" t="n"/>
      <c r="D930" s="6" t="n"/>
      <c r="E930" s="7" t="n"/>
      <c r="F930" s="7" t="n"/>
      <c r="G930" s="7" t="n"/>
      <c r="H930" s="3">
        <f>IFERROR(VLOOKUP(B930,Inventory!$A:$B,2,FALSE)*D930,0)</f>
        <v/>
      </c>
      <c r="I930" s="3">
        <f>IF(C930="",0,IFERROR(VLOOKUP(C930,Settings!$A$2:$F$5,2,FALSE)+(E930*D930+F930)*VLOOKUP(C930,Settings!$A$2:$F$5,3,FALSE)/100+(E930*D930+F930)*VLOOKUP(C930,Settings!$A$2:$F$5,4,FALSE)/100+VLOOKUP(C930,Settings!$A$2:$F$5,5,FALSE)+VLOOKUP(C930,Settings!$A$2:$F$5,6,FALSE),0))</f>
        <v/>
      </c>
      <c r="J930" s="3">
        <f>IF(B930="","",IF(ISNA(MATCH(B930,Inventory!$A$2:$A$201,0)),"Check product",E930*D930+F930-I930-G930-H930))</f>
        <v/>
      </c>
      <c r="K930" s="4">
        <f>IF(OR(B930="",NOT(ISNUMBER(J930)),E930*D930+F930=0),"",J930/(E930*D930+F930))</f>
        <v/>
      </c>
    </row>
    <row r="931">
      <c r="A931" s="8" t="n"/>
      <c r="B931" s="6" t="n"/>
      <c r="C931" s="6" t="n"/>
      <c r="D931" s="6" t="n"/>
      <c r="E931" s="7" t="n"/>
      <c r="F931" s="7" t="n"/>
      <c r="G931" s="7" t="n"/>
      <c r="H931" s="3">
        <f>IFERROR(VLOOKUP(B931,Inventory!$A:$B,2,FALSE)*D931,0)</f>
        <v/>
      </c>
      <c r="I931" s="3">
        <f>IF(C931="",0,IFERROR(VLOOKUP(C931,Settings!$A$2:$F$5,2,FALSE)+(E931*D931+F931)*VLOOKUP(C931,Settings!$A$2:$F$5,3,FALSE)/100+(E931*D931+F931)*VLOOKUP(C931,Settings!$A$2:$F$5,4,FALSE)/100+VLOOKUP(C931,Settings!$A$2:$F$5,5,FALSE)+VLOOKUP(C931,Settings!$A$2:$F$5,6,FALSE),0))</f>
        <v/>
      </c>
      <c r="J931" s="3">
        <f>IF(B931="","",IF(ISNA(MATCH(B931,Inventory!$A$2:$A$201,0)),"Check product",E931*D931+F931-I931-G931-H931))</f>
        <v/>
      </c>
      <c r="K931" s="4">
        <f>IF(OR(B931="",NOT(ISNUMBER(J931)),E931*D931+F931=0),"",J931/(E931*D931+F931))</f>
        <v/>
      </c>
    </row>
    <row r="932">
      <c r="A932" s="8" t="n"/>
      <c r="B932" s="6" t="n"/>
      <c r="C932" s="6" t="n"/>
      <c r="D932" s="6" t="n"/>
      <c r="E932" s="7" t="n"/>
      <c r="F932" s="7" t="n"/>
      <c r="G932" s="7" t="n"/>
      <c r="H932" s="3">
        <f>IFERROR(VLOOKUP(B932,Inventory!$A:$B,2,FALSE)*D932,0)</f>
        <v/>
      </c>
      <c r="I932" s="3">
        <f>IF(C932="",0,IFERROR(VLOOKUP(C932,Settings!$A$2:$F$5,2,FALSE)+(E932*D932+F932)*VLOOKUP(C932,Settings!$A$2:$F$5,3,FALSE)/100+(E932*D932+F932)*VLOOKUP(C932,Settings!$A$2:$F$5,4,FALSE)/100+VLOOKUP(C932,Settings!$A$2:$F$5,5,FALSE)+VLOOKUP(C932,Settings!$A$2:$F$5,6,FALSE),0))</f>
        <v/>
      </c>
      <c r="J932" s="3">
        <f>IF(B932="","",IF(ISNA(MATCH(B932,Inventory!$A$2:$A$201,0)),"Check product",E932*D932+F932-I932-G932-H932))</f>
        <v/>
      </c>
      <c r="K932" s="4">
        <f>IF(OR(B932="",NOT(ISNUMBER(J932)),E932*D932+F932=0),"",J932/(E932*D932+F932))</f>
        <v/>
      </c>
    </row>
    <row r="933">
      <c r="A933" s="8" t="n"/>
      <c r="B933" s="6" t="n"/>
      <c r="C933" s="6" t="n"/>
      <c r="D933" s="6" t="n"/>
      <c r="E933" s="7" t="n"/>
      <c r="F933" s="7" t="n"/>
      <c r="G933" s="7" t="n"/>
      <c r="H933" s="3">
        <f>IFERROR(VLOOKUP(B933,Inventory!$A:$B,2,FALSE)*D933,0)</f>
        <v/>
      </c>
      <c r="I933" s="3">
        <f>IF(C933="",0,IFERROR(VLOOKUP(C933,Settings!$A$2:$F$5,2,FALSE)+(E933*D933+F933)*VLOOKUP(C933,Settings!$A$2:$F$5,3,FALSE)/100+(E933*D933+F933)*VLOOKUP(C933,Settings!$A$2:$F$5,4,FALSE)/100+VLOOKUP(C933,Settings!$A$2:$F$5,5,FALSE)+VLOOKUP(C933,Settings!$A$2:$F$5,6,FALSE),0))</f>
        <v/>
      </c>
      <c r="J933" s="3">
        <f>IF(B933="","",IF(ISNA(MATCH(B933,Inventory!$A$2:$A$201,0)),"Check product",E933*D933+F933-I933-G933-H933))</f>
        <v/>
      </c>
      <c r="K933" s="4">
        <f>IF(OR(B933="",NOT(ISNUMBER(J933)),E933*D933+F933=0),"",J933/(E933*D933+F933))</f>
        <v/>
      </c>
    </row>
    <row r="934">
      <c r="A934" s="8" t="n"/>
      <c r="B934" s="6" t="n"/>
      <c r="C934" s="6" t="n"/>
      <c r="D934" s="6" t="n"/>
      <c r="E934" s="7" t="n"/>
      <c r="F934" s="7" t="n"/>
      <c r="G934" s="7" t="n"/>
      <c r="H934" s="3">
        <f>IFERROR(VLOOKUP(B934,Inventory!$A:$B,2,FALSE)*D934,0)</f>
        <v/>
      </c>
      <c r="I934" s="3">
        <f>IF(C934="",0,IFERROR(VLOOKUP(C934,Settings!$A$2:$F$5,2,FALSE)+(E934*D934+F934)*VLOOKUP(C934,Settings!$A$2:$F$5,3,FALSE)/100+(E934*D934+F934)*VLOOKUP(C934,Settings!$A$2:$F$5,4,FALSE)/100+VLOOKUP(C934,Settings!$A$2:$F$5,5,FALSE)+VLOOKUP(C934,Settings!$A$2:$F$5,6,FALSE),0))</f>
        <v/>
      </c>
      <c r="J934" s="3">
        <f>IF(B934="","",IF(ISNA(MATCH(B934,Inventory!$A$2:$A$201,0)),"Check product",E934*D934+F934-I934-G934-H934))</f>
        <v/>
      </c>
      <c r="K934" s="4">
        <f>IF(OR(B934="",NOT(ISNUMBER(J934)),E934*D934+F934=0),"",J934/(E934*D934+F934))</f>
        <v/>
      </c>
    </row>
    <row r="935">
      <c r="A935" s="8" t="n"/>
      <c r="B935" s="6" t="n"/>
      <c r="C935" s="6" t="n"/>
      <c r="D935" s="6" t="n"/>
      <c r="E935" s="7" t="n"/>
      <c r="F935" s="7" t="n"/>
      <c r="G935" s="7" t="n"/>
      <c r="H935" s="3">
        <f>IFERROR(VLOOKUP(B935,Inventory!$A:$B,2,FALSE)*D935,0)</f>
        <v/>
      </c>
      <c r="I935" s="3">
        <f>IF(C935="",0,IFERROR(VLOOKUP(C935,Settings!$A$2:$F$5,2,FALSE)+(E935*D935+F935)*VLOOKUP(C935,Settings!$A$2:$F$5,3,FALSE)/100+(E935*D935+F935)*VLOOKUP(C935,Settings!$A$2:$F$5,4,FALSE)/100+VLOOKUP(C935,Settings!$A$2:$F$5,5,FALSE)+VLOOKUP(C935,Settings!$A$2:$F$5,6,FALSE),0))</f>
        <v/>
      </c>
      <c r="J935" s="3">
        <f>IF(B935="","",IF(ISNA(MATCH(B935,Inventory!$A$2:$A$201,0)),"Check product",E935*D935+F935-I935-G935-H935))</f>
        <v/>
      </c>
      <c r="K935" s="4">
        <f>IF(OR(B935="",NOT(ISNUMBER(J935)),E935*D935+F935=0),"",J935/(E935*D935+F935))</f>
        <v/>
      </c>
    </row>
    <row r="936">
      <c r="A936" s="8" t="n"/>
      <c r="B936" s="6" t="n"/>
      <c r="C936" s="6" t="n"/>
      <c r="D936" s="6" t="n"/>
      <c r="E936" s="7" t="n"/>
      <c r="F936" s="7" t="n"/>
      <c r="G936" s="7" t="n"/>
      <c r="H936" s="3">
        <f>IFERROR(VLOOKUP(B936,Inventory!$A:$B,2,FALSE)*D936,0)</f>
        <v/>
      </c>
      <c r="I936" s="3">
        <f>IF(C936="",0,IFERROR(VLOOKUP(C936,Settings!$A$2:$F$5,2,FALSE)+(E936*D936+F936)*VLOOKUP(C936,Settings!$A$2:$F$5,3,FALSE)/100+(E936*D936+F936)*VLOOKUP(C936,Settings!$A$2:$F$5,4,FALSE)/100+VLOOKUP(C936,Settings!$A$2:$F$5,5,FALSE)+VLOOKUP(C936,Settings!$A$2:$F$5,6,FALSE),0))</f>
        <v/>
      </c>
      <c r="J936" s="3">
        <f>IF(B936="","",IF(ISNA(MATCH(B936,Inventory!$A$2:$A$201,0)),"Check product",E936*D936+F936-I936-G936-H936))</f>
        <v/>
      </c>
      <c r="K936" s="4">
        <f>IF(OR(B936="",NOT(ISNUMBER(J936)),E936*D936+F936=0),"",J936/(E936*D936+F936))</f>
        <v/>
      </c>
    </row>
    <row r="937">
      <c r="A937" s="8" t="n"/>
      <c r="B937" s="6" t="n"/>
      <c r="C937" s="6" t="n"/>
      <c r="D937" s="6" t="n"/>
      <c r="E937" s="7" t="n"/>
      <c r="F937" s="7" t="n"/>
      <c r="G937" s="7" t="n"/>
      <c r="H937" s="3">
        <f>IFERROR(VLOOKUP(B937,Inventory!$A:$B,2,FALSE)*D937,0)</f>
        <v/>
      </c>
      <c r="I937" s="3">
        <f>IF(C937="",0,IFERROR(VLOOKUP(C937,Settings!$A$2:$F$5,2,FALSE)+(E937*D937+F937)*VLOOKUP(C937,Settings!$A$2:$F$5,3,FALSE)/100+(E937*D937+F937)*VLOOKUP(C937,Settings!$A$2:$F$5,4,FALSE)/100+VLOOKUP(C937,Settings!$A$2:$F$5,5,FALSE)+VLOOKUP(C937,Settings!$A$2:$F$5,6,FALSE),0))</f>
        <v/>
      </c>
      <c r="J937" s="3">
        <f>IF(B937="","",IF(ISNA(MATCH(B937,Inventory!$A$2:$A$201,0)),"Check product",E937*D937+F937-I937-G937-H937))</f>
        <v/>
      </c>
      <c r="K937" s="4">
        <f>IF(OR(B937="",NOT(ISNUMBER(J937)),E937*D937+F937=0),"",J937/(E937*D937+F937))</f>
        <v/>
      </c>
    </row>
    <row r="938">
      <c r="A938" s="8" t="n"/>
      <c r="B938" s="6" t="n"/>
      <c r="C938" s="6" t="n"/>
      <c r="D938" s="6" t="n"/>
      <c r="E938" s="7" t="n"/>
      <c r="F938" s="7" t="n"/>
      <c r="G938" s="7" t="n"/>
      <c r="H938" s="3">
        <f>IFERROR(VLOOKUP(B938,Inventory!$A:$B,2,FALSE)*D938,0)</f>
        <v/>
      </c>
      <c r="I938" s="3">
        <f>IF(C938="",0,IFERROR(VLOOKUP(C938,Settings!$A$2:$F$5,2,FALSE)+(E938*D938+F938)*VLOOKUP(C938,Settings!$A$2:$F$5,3,FALSE)/100+(E938*D938+F938)*VLOOKUP(C938,Settings!$A$2:$F$5,4,FALSE)/100+VLOOKUP(C938,Settings!$A$2:$F$5,5,FALSE)+VLOOKUP(C938,Settings!$A$2:$F$5,6,FALSE),0))</f>
        <v/>
      </c>
      <c r="J938" s="3">
        <f>IF(B938="","",IF(ISNA(MATCH(B938,Inventory!$A$2:$A$201,0)),"Check product",E938*D938+F938-I938-G938-H938))</f>
        <v/>
      </c>
      <c r="K938" s="4">
        <f>IF(OR(B938="",NOT(ISNUMBER(J938)),E938*D938+F938=0),"",J938/(E938*D938+F938))</f>
        <v/>
      </c>
    </row>
    <row r="939">
      <c r="A939" s="8" t="n"/>
      <c r="B939" s="6" t="n"/>
      <c r="C939" s="6" t="n"/>
      <c r="D939" s="6" t="n"/>
      <c r="E939" s="7" t="n"/>
      <c r="F939" s="7" t="n"/>
      <c r="G939" s="7" t="n"/>
      <c r="H939" s="3">
        <f>IFERROR(VLOOKUP(B939,Inventory!$A:$B,2,FALSE)*D939,0)</f>
        <v/>
      </c>
      <c r="I939" s="3">
        <f>IF(C939="",0,IFERROR(VLOOKUP(C939,Settings!$A$2:$F$5,2,FALSE)+(E939*D939+F939)*VLOOKUP(C939,Settings!$A$2:$F$5,3,FALSE)/100+(E939*D939+F939)*VLOOKUP(C939,Settings!$A$2:$F$5,4,FALSE)/100+VLOOKUP(C939,Settings!$A$2:$F$5,5,FALSE)+VLOOKUP(C939,Settings!$A$2:$F$5,6,FALSE),0))</f>
        <v/>
      </c>
      <c r="J939" s="3">
        <f>IF(B939="","",IF(ISNA(MATCH(B939,Inventory!$A$2:$A$201,0)),"Check product",E939*D939+F939-I939-G939-H939))</f>
        <v/>
      </c>
      <c r="K939" s="4">
        <f>IF(OR(B939="",NOT(ISNUMBER(J939)),E939*D939+F939=0),"",J939/(E939*D939+F939))</f>
        <v/>
      </c>
    </row>
    <row r="940">
      <c r="A940" s="8" t="n"/>
      <c r="B940" s="6" t="n"/>
      <c r="C940" s="6" t="n"/>
      <c r="D940" s="6" t="n"/>
      <c r="E940" s="7" t="n"/>
      <c r="F940" s="7" t="n"/>
      <c r="G940" s="7" t="n"/>
      <c r="H940" s="3">
        <f>IFERROR(VLOOKUP(B940,Inventory!$A:$B,2,FALSE)*D940,0)</f>
        <v/>
      </c>
      <c r="I940" s="3">
        <f>IF(C940="",0,IFERROR(VLOOKUP(C940,Settings!$A$2:$F$5,2,FALSE)+(E940*D940+F940)*VLOOKUP(C940,Settings!$A$2:$F$5,3,FALSE)/100+(E940*D940+F940)*VLOOKUP(C940,Settings!$A$2:$F$5,4,FALSE)/100+VLOOKUP(C940,Settings!$A$2:$F$5,5,FALSE)+VLOOKUP(C940,Settings!$A$2:$F$5,6,FALSE),0))</f>
        <v/>
      </c>
      <c r="J940" s="3">
        <f>IF(B940="","",IF(ISNA(MATCH(B940,Inventory!$A$2:$A$201,0)),"Check product",E940*D940+F940-I940-G940-H940))</f>
        <v/>
      </c>
      <c r="K940" s="4">
        <f>IF(OR(B940="",NOT(ISNUMBER(J940)),E940*D940+F940=0),"",J940/(E940*D940+F940))</f>
        <v/>
      </c>
    </row>
    <row r="941">
      <c r="A941" s="8" t="n"/>
      <c r="B941" s="6" t="n"/>
      <c r="C941" s="6" t="n"/>
      <c r="D941" s="6" t="n"/>
      <c r="E941" s="7" t="n"/>
      <c r="F941" s="7" t="n"/>
      <c r="G941" s="7" t="n"/>
      <c r="H941" s="3">
        <f>IFERROR(VLOOKUP(B941,Inventory!$A:$B,2,FALSE)*D941,0)</f>
        <v/>
      </c>
      <c r="I941" s="3">
        <f>IF(C941="",0,IFERROR(VLOOKUP(C941,Settings!$A$2:$F$5,2,FALSE)+(E941*D941+F941)*VLOOKUP(C941,Settings!$A$2:$F$5,3,FALSE)/100+(E941*D941+F941)*VLOOKUP(C941,Settings!$A$2:$F$5,4,FALSE)/100+VLOOKUP(C941,Settings!$A$2:$F$5,5,FALSE)+VLOOKUP(C941,Settings!$A$2:$F$5,6,FALSE),0))</f>
        <v/>
      </c>
      <c r="J941" s="3">
        <f>IF(B941="","",IF(ISNA(MATCH(B941,Inventory!$A$2:$A$201,0)),"Check product",E941*D941+F941-I941-G941-H941))</f>
        <v/>
      </c>
      <c r="K941" s="4">
        <f>IF(OR(B941="",NOT(ISNUMBER(J941)),E941*D941+F941=0),"",J941/(E941*D941+F941))</f>
        <v/>
      </c>
    </row>
    <row r="942">
      <c r="A942" s="8" t="n"/>
      <c r="B942" s="6" t="n"/>
      <c r="C942" s="6" t="n"/>
      <c r="D942" s="6" t="n"/>
      <c r="E942" s="7" t="n"/>
      <c r="F942" s="7" t="n"/>
      <c r="G942" s="7" t="n"/>
      <c r="H942" s="3">
        <f>IFERROR(VLOOKUP(B942,Inventory!$A:$B,2,FALSE)*D942,0)</f>
        <v/>
      </c>
      <c r="I942" s="3">
        <f>IF(C942="",0,IFERROR(VLOOKUP(C942,Settings!$A$2:$F$5,2,FALSE)+(E942*D942+F942)*VLOOKUP(C942,Settings!$A$2:$F$5,3,FALSE)/100+(E942*D942+F942)*VLOOKUP(C942,Settings!$A$2:$F$5,4,FALSE)/100+VLOOKUP(C942,Settings!$A$2:$F$5,5,FALSE)+VLOOKUP(C942,Settings!$A$2:$F$5,6,FALSE),0))</f>
        <v/>
      </c>
      <c r="J942" s="3">
        <f>IF(B942="","",IF(ISNA(MATCH(B942,Inventory!$A$2:$A$201,0)),"Check product",E942*D942+F942-I942-G942-H942))</f>
        <v/>
      </c>
      <c r="K942" s="4">
        <f>IF(OR(B942="",NOT(ISNUMBER(J942)),E942*D942+F942=0),"",J942/(E942*D942+F942))</f>
        <v/>
      </c>
    </row>
    <row r="943">
      <c r="A943" s="8" t="n"/>
      <c r="B943" s="6" t="n"/>
      <c r="C943" s="6" t="n"/>
      <c r="D943" s="6" t="n"/>
      <c r="E943" s="7" t="n"/>
      <c r="F943" s="7" t="n"/>
      <c r="G943" s="7" t="n"/>
      <c r="H943" s="3">
        <f>IFERROR(VLOOKUP(B943,Inventory!$A:$B,2,FALSE)*D943,0)</f>
        <v/>
      </c>
      <c r="I943" s="3">
        <f>IF(C943="",0,IFERROR(VLOOKUP(C943,Settings!$A$2:$F$5,2,FALSE)+(E943*D943+F943)*VLOOKUP(C943,Settings!$A$2:$F$5,3,FALSE)/100+(E943*D943+F943)*VLOOKUP(C943,Settings!$A$2:$F$5,4,FALSE)/100+VLOOKUP(C943,Settings!$A$2:$F$5,5,FALSE)+VLOOKUP(C943,Settings!$A$2:$F$5,6,FALSE),0))</f>
        <v/>
      </c>
      <c r="J943" s="3">
        <f>IF(B943="","",IF(ISNA(MATCH(B943,Inventory!$A$2:$A$201,0)),"Check product",E943*D943+F943-I943-G943-H943))</f>
        <v/>
      </c>
      <c r="K943" s="4">
        <f>IF(OR(B943="",NOT(ISNUMBER(J943)),E943*D943+F943=0),"",J943/(E943*D943+F943))</f>
        <v/>
      </c>
    </row>
    <row r="944">
      <c r="A944" s="8" t="n"/>
      <c r="B944" s="6" t="n"/>
      <c r="C944" s="6" t="n"/>
      <c r="D944" s="6" t="n"/>
      <c r="E944" s="7" t="n"/>
      <c r="F944" s="7" t="n"/>
      <c r="G944" s="7" t="n"/>
      <c r="H944" s="3">
        <f>IFERROR(VLOOKUP(B944,Inventory!$A:$B,2,FALSE)*D944,0)</f>
        <v/>
      </c>
      <c r="I944" s="3">
        <f>IF(C944="",0,IFERROR(VLOOKUP(C944,Settings!$A$2:$F$5,2,FALSE)+(E944*D944+F944)*VLOOKUP(C944,Settings!$A$2:$F$5,3,FALSE)/100+(E944*D944+F944)*VLOOKUP(C944,Settings!$A$2:$F$5,4,FALSE)/100+VLOOKUP(C944,Settings!$A$2:$F$5,5,FALSE)+VLOOKUP(C944,Settings!$A$2:$F$5,6,FALSE),0))</f>
        <v/>
      </c>
      <c r="J944" s="3">
        <f>IF(B944="","",IF(ISNA(MATCH(B944,Inventory!$A$2:$A$201,0)),"Check product",E944*D944+F944-I944-G944-H944))</f>
        <v/>
      </c>
      <c r="K944" s="4">
        <f>IF(OR(B944="",NOT(ISNUMBER(J944)),E944*D944+F944=0),"",J944/(E944*D944+F944))</f>
        <v/>
      </c>
    </row>
    <row r="945">
      <c r="A945" s="8" t="n"/>
      <c r="B945" s="6" t="n"/>
      <c r="C945" s="6" t="n"/>
      <c r="D945" s="6" t="n"/>
      <c r="E945" s="7" t="n"/>
      <c r="F945" s="7" t="n"/>
      <c r="G945" s="7" t="n"/>
      <c r="H945" s="3">
        <f>IFERROR(VLOOKUP(B945,Inventory!$A:$B,2,FALSE)*D945,0)</f>
        <v/>
      </c>
      <c r="I945" s="3">
        <f>IF(C945="",0,IFERROR(VLOOKUP(C945,Settings!$A$2:$F$5,2,FALSE)+(E945*D945+F945)*VLOOKUP(C945,Settings!$A$2:$F$5,3,FALSE)/100+(E945*D945+F945)*VLOOKUP(C945,Settings!$A$2:$F$5,4,FALSE)/100+VLOOKUP(C945,Settings!$A$2:$F$5,5,FALSE)+VLOOKUP(C945,Settings!$A$2:$F$5,6,FALSE),0))</f>
        <v/>
      </c>
      <c r="J945" s="3">
        <f>IF(B945="","",IF(ISNA(MATCH(B945,Inventory!$A$2:$A$201,0)),"Check product",E945*D945+F945-I945-G945-H945))</f>
        <v/>
      </c>
      <c r="K945" s="4">
        <f>IF(OR(B945="",NOT(ISNUMBER(J945)),E945*D945+F945=0),"",J945/(E945*D945+F945))</f>
        <v/>
      </c>
    </row>
    <row r="946">
      <c r="A946" s="8" t="n"/>
      <c r="B946" s="6" t="n"/>
      <c r="C946" s="6" t="n"/>
      <c r="D946" s="6" t="n"/>
      <c r="E946" s="7" t="n"/>
      <c r="F946" s="7" t="n"/>
      <c r="G946" s="7" t="n"/>
      <c r="H946" s="3">
        <f>IFERROR(VLOOKUP(B946,Inventory!$A:$B,2,FALSE)*D946,0)</f>
        <v/>
      </c>
      <c r="I946" s="3">
        <f>IF(C946="",0,IFERROR(VLOOKUP(C946,Settings!$A$2:$F$5,2,FALSE)+(E946*D946+F946)*VLOOKUP(C946,Settings!$A$2:$F$5,3,FALSE)/100+(E946*D946+F946)*VLOOKUP(C946,Settings!$A$2:$F$5,4,FALSE)/100+VLOOKUP(C946,Settings!$A$2:$F$5,5,FALSE)+VLOOKUP(C946,Settings!$A$2:$F$5,6,FALSE),0))</f>
        <v/>
      </c>
      <c r="J946" s="3">
        <f>IF(B946="","",IF(ISNA(MATCH(B946,Inventory!$A$2:$A$201,0)),"Check product",E946*D946+F946-I946-G946-H946))</f>
        <v/>
      </c>
      <c r="K946" s="4">
        <f>IF(OR(B946="",NOT(ISNUMBER(J946)),E946*D946+F946=0),"",J946/(E946*D946+F946))</f>
        <v/>
      </c>
    </row>
    <row r="947">
      <c r="A947" s="8" t="n"/>
      <c r="B947" s="6" t="n"/>
      <c r="C947" s="6" t="n"/>
      <c r="D947" s="6" t="n"/>
      <c r="E947" s="7" t="n"/>
      <c r="F947" s="7" t="n"/>
      <c r="G947" s="7" t="n"/>
      <c r="H947" s="3">
        <f>IFERROR(VLOOKUP(B947,Inventory!$A:$B,2,FALSE)*D947,0)</f>
        <v/>
      </c>
      <c r="I947" s="3">
        <f>IF(C947="",0,IFERROR(VLOOKUP(C947,Settings!$A$2:$F$5,2,FALSE)+(E947*D947+F947)*VLOOKUP(C947,Settings!$A$2:$F$5,3,FALSE)/100+(E947*D947+F947)*VLOOKUP(C947,Settings!$A$2:$F$5,4,FALSE)/100+VLOOKUP(C947,Settings!$A$2:$F$5,5,FALSE)+VLOOKUP(C947,Settings!$A$2:$F$5,6,FALSE),0))</f>
        <v/>
      </c>
      <c r="J947" s="3">
        <f>IF(B947="","",IF(ISNA(MATCH(B947,Inventory!$A$2:$A$201,0)),"Check product",E947*D947+F947-I947-G947-H947))</f>
        <v/>
      </c>
      <c r="K947" s="4">
        <f>IF(OR(B947="",NOT(ISNUMBER(J947)),E947*D947+F947=0),"",J947/(E947*D947+F947))</f>
        <v/>
      </c>
    </row>
    <row r="948">
      <c r="A948" s="8" t="n"/>
      <c r="B948" s="6" t="n"/>
      <c r="C948" s="6" t="n"/>
      <c r="D948" s="6" t="n"/>
      <c r="E948" s="7" t="n"/>
      <c r="F948" s="7" t="n"/>
      <c r="G948" s="7" t="n"/>
      <c r="H948" s="3">
        <f>IFERROR(VLOOKUP(B948,Inventory!$A:$B,2,FALSE)*D948,0)</f>
        <v/>
      </c>
      <c r="I948" s="3">
        <f>IF(C948="",0,IFERROR(VLOOKUP(C948,Settings!$A$2:$F$5,2,FALSE)+(E948*D948+F948)*VLOOKUP(C948,Settings!$A$2:$F$5,3,FALSE)/100+(E948*D948+F948)*VLOOKUP(C948,Settings!$A$2:$F$5,4,FALSE)/100+VLOOKUP(C948,Settings!$A$2:$F$5,5,FALSE)+VLOOKUP(C948,Settings!$A$2:$F$5,6,FALSE),0))</f>
        <v/>
      </c>
      <c r="J948" s="3">
        <f>IF(B948="","",IF(ISNA(MATCH(B948,Inventory!$A$2:$A$201,0)),"Check product",E948*D948+F948-I948-G948-H948))</f>
        <v/>
      </c>
      <c r="K948" s="4">
        <f>IF(OR(B948="",NOT(ISNUMBER(J948)),E948*D948+F948=0),"",J948/(E948*D948+F948))</f>
        <v/>
      </c>
    </row>
    <row r="949">
      <c r="A949" s="8" t="n"/>
      <c r="B949" s="6" t="n"/>
      <c r="C949" s="6" t="n"/>
      <c r="D949" s="6" t="n"/>
      <c r="E949" s="7" t="n"/>
      <c r="F949" s="7" t="n"/>
      <c r="G949" s="7" t="n"/>
      <c r="H949" s="3">
        <f>IFERROR(VLOOKUP(B949,Inventory!$A:$B,2,FALSE)*D949,0)</f>
        <v/>
      </c>
      <c r="I949" s="3">
        <f>IF(C949="",0,IFERROR(VLOOKUP(C949,Settings!$A$2:$F$5,2,FALSE)+(E949*D949+F949)*VLOOKUP(C949,Settings!$A$2:$F$5,3,FALSE)/100+(E949*D949+F949)*VLOOKUP(C949,Settings!$A$2:$F$5,4,FALSE)/100+VLOOKUP(C949,Settings!$A$2:$F$5,5,FALSE)+VLOOKUP(C949,Settings!$A$2:$F$5,6,FALSE),0))</f>
        <v/>
      </c>
      <c r="J949" s="3">
        <f>IF(B949="","",IF(ISNA(MATCH(B949,Inventory!$A$2:$A$201,0)),"Check product",E949*D949+F949-I949-G949-H949))</f>
        <v/>
      </c>
      <c r="K949" s="4">
        <f>IF(OR(B949="",NOT(ISNUMBER(J949)),E949*D949+F949=0),"",J949/(E949*D949+F949))</f>
        <v/>
      </c>
    </row>
    <row r="950">
      <c r="A950" s="8" t="n"/>
      <c r="B950" s="6" t="n"/>
      <c r="C950" s="6" t="n"/>
      <c r="D950" s="6" t="n"/>
      <c r="E950" s="7" t="n"/>
      <c r="F950" s="7" t="n"/>
      <c r="G950" s="7" t="n"/>
      <c r="H950" s="3">
        <f>IFERROR(VLOOKUP(B950,Inventory!$A:$B,2,FALSE)*D950,0)</f>
        <v/>
      </c>
      <c r="I950" s="3">
        <f>IF(C950="",0,IFERROR(VLOOKUP(C950,Settings!$A$2:$F$5,2,FALSE)+(E950*D950+F950)*VLOOKUP(C950,Settings!$A$2:$F$5,3,FALSE)/100+(E950*D950+F950)*VLOOKUP(C950,Settings!$A$2:$F$5,4,FALSE)/100+VLOOKUP(C950,Settings!$A$2:$F$5,5,FALSE)+VLOOKUP(C950,Settings!$A$2:$F$5,6,FALSE),0))</f>
        <v/>
      </c>
      <c r="J950" s="3">
        <f>IF(B950="","",IF(ISNA(MATCH(B950,Inventory!$A$2:$A$201,0)),"Check product",E950*D950+F950-I950-G950-H950))</f>
        <v/>
      </c>
      <c r="K950" s="4">
        <f>IF(OR(B950="",NOT(ISNUMBER(J950)),E950*D950+F950=0),"",J950/(E950*D950+F950))</f>
        <v/>
      </c>
    </row>
    <row r="951">
      <c r="A951" s="8" t="n"/>
      <c r="B951" s="6" t="n"/>
      <c r="C951" s="6" t="n"/>
      <c r="D951" s="6" t="n"/>
      <c r="E951" s="7" t="n"/>
      <c r="F951" s="7" t="n"/>
      <c r="G951" s="7" t="n"/>
      <c r="H951" s="3">
        <f>IFERROR(VLOOKUP(B951,Inventory!$A:$B,2,FALSE)*D951,0)</f>
        <v/>
      </c>
      <c r="I951" s="3">
        <f>IF(C951="",0,IFERROR(VLOOKUP(C951,Settings!$A$2:$F$5,2,FALSE)+(E951*D951+F951)*VLOOKUP(C951,Settings!$A$2:$F$5,3,FALSE)/100+(E951*D951+F951)*VLOOKUP(C951,Settings!$A$2:$F$5,4,FALSE)/100+VLOOKUP(C951,Settings!$A$2:$F$5,5,FALSE)+VLOOKUP(C951,Settings!$A$2:$F$5,6,FALSE),0))</f>
        <v/>
      </c>
      <c r="J951" s="3">
        <f>IF(B951="","",IF(ISNA(MATCH(B951,Inventory!$A$2:$A$201,0)),"Check product",E951*D951+F951-I951-G951-H951))</f>
        <v/>
      </c>
      <c r="K951" s="4">
        <f>IF(OR(B951="",NOT(ISNUMBER(J951)),E951*D951+F951=0),"",J951/(E951*D951+F951))</f>
        <v/>
      </c>
    </row>
    <row r="952">
      <c r="A952" s="8" t="n"/>
      <c r="B952" s="6" t="n"/>
      <c r="C952" s="6" t="n"/>
      <c r="D952" s="6" t="n"/>
      <c r="E952" s="7" t="n"/>
      <c r="F952" s="7" t="n"/>
      <c r="G952" s="7" t="n"/>
      <c r="H952" s="3">
        <f>IFERROR(VLOOKUP(B952,Inventory!$A:$B,2,FALSE)*D952,0)</f>
        <v/>
      </c>
      <c r="I952" s="3">
        <f>IF(C952="",0,IFERROR(VLOOKUP(C952,Settings!$A$2:$F$5,2,FALSE)+(E952*D952+F952)*VLOOKUP(C952,Settings!$A$2:$F$5,3,FALSE)/100+(E952*D952+F952)*VLOOKUP(C952,Settings!$A$2:$F$5,4,FALSE)/100+VLOOKUP(C952,Settings!$A$2:$F$5,5,FALSE)+VLOOKUP(C952,Settings!$A$2:$F$5,6,FALSE),0))</f>
        <v/>
      </c>
      <c r="J952" s="3">
        <f>IF(B952="","",IF(ISNA(MATCH(B952,Inventory!$A$2:$A$201,0)),"Check product",E952*D952+F952-I952-G952-H952))</f>
        <v/>
      </c>
      <c r="K952" s="4">
        <f>IF(OR(B952="",NOT(ISNUMBER(J952)),E952*D952+F952=0),"",J952/(E952*D952+F952))</f>
        <v/>
      </c>
    </row>
    <row r="953">
      <c r="A953" s="8" t="n"/>
      <c r="B953" s="6" t="n"/>
      <c r="C953" s="6" t="n"/>
      <c r="D953" s="6" t="n"/>
      <c r="E953" s="7" t="n"/>
      <c r="F953" s="7" t="n"/>
      <c r="G953" s="7" t="n"/>
      <c r="H953" s="3">
        <f>IFERROR(VLOOKUP(B953,Inventory!$A:$B,2,FALSE)*D953,0)</f>
        <v/>
      </c>
      <c r="I953" s="3">
        <f>IF(C953="",0,IFERROR(VLOOKUP(C953,Settings!$A$2:$F$5,2,FALSE)+(E953*D953+F953)*VLOOKUP(C953,Settings!$A$2:$F$5,3,FALSE)/100+(E953*D953+F953)*VLOOKUP(C953,Settings!$A$2:$F$5,4,FALSE)/100+VLOOKUP(C953,Settings!$A$2:$F$5,5,FALSE)+VLOOKUP(C953,Settings!$A$2:$F$5,6,FALSE),0))</f>
        <v/>
      </c>
      <c r="J953" s="3">
        <f>IF(B953="","",IF(ISNA(MATCH(B953,Inventory!$A$2:$A$201,0)),"Check product",E953*D953+F953-I953-G953-H953))</f>
        <v/>
      </c>
      <c r="K953" s="4">
        <f>IF(OR(B953="",NOT(ISNUMBER(J953)),E953*D953+F953=0),"",J953/(E953*D953+F953))</f>
        <v/>
      </c>
    </row>
    <row r="954">
      <c r="A954" s="8" t="n"/>
      <c r="B954" s="6" t="n"/>
      <c r="C954" s="6" t="n"/>
      <c r="D954" s="6" t="n"/>
      <c r="E954" s="7" t="n"/>
      <c r="F954" s="7" t="n"/>
      <c r="G954" s="7" t="n"/>
      <c r="H954" s="3">
        <f>IFERROR(VLOOKUP(B954,Inventory!$A:$B,2,FALSE)*D954,0)</f>
        <v/>
      </c>
      <c r="I954" s="3">
        <f>IF(C954="",0,IFERROR(VLOOKUP(C954,Settings!$A$2:$F$5,2,FALSE)+(E954*D954+F954)*VLOOKUP(C954,Settings!$A$2:$F$5,3,FALSE)/100+(E954*D954+F954)*VLOOKUP(C954,Settings!$A$2:$F$5,4,FALSE)/100+VLOOKUP(C954,Settings!$A$2:$F$5,5,FALSE)+VLOOKUP(C954,Settings!$A$2:$F$5,6,FALSE),0))</f>
        <v/>
      </c>
      <c r="J954" s="3">
        <f>IF(B954="","",IF(ISNA(MATCH(B954,Inventory!$A$2:$A$201,0)),"Check product",E954*D954+F954-I954-G954-H954))</f>
        <v/>
      </c>
      <c r="K954" s="4">
        <f>IF(OR(B954="",NOT(ISNUMBER(J954)),E954*D954+F954=0),"",J954/(E954*D954+F954))</f>
        <v/>
      </c>
    </row>
    <row r="955">
      <c r="A955" s="8" t="n"/>
      <c r="B955" s="6" t="n"/>
      <c r="C955" s="6" t="n"/>
      <c r="D955" s="6" t="n"/>
      <c r="E955" s="7" t="n"/>
      <c r="F955" s="7" t="n"/>
      <c r="G955" s="7" t="n"/>
      <c r="H955" s="3">
        <f>IFERROR(VLOOKUP(B955,Inventory!$A:$B,2,FALSE)*D955,0)</f>
        <v/>
      </c>
      <c r="I955" s="3">
        <f>IF(C955="",0,IFERROR(VLOOKUP(C955,Settings!$A$2:$F$5,2,FALSE)+(E955*D955+F955)*VLOOKUP(C955,Settings!$A$2:$F$5,3,FALSE)/100+(E955*D955+F955)*VLOOKUP(C955,Settings!$A$2:$F$5,4,FALSE)/100+VLOOKUP(C955,Settings!$A$2:$F$5,5,FALSE)+VLOOKUP(C955,Settings!$A$2:$F$5,6,FALSE),0))</f>
        <v/>
      </c>
      <c r="J955" s="3">
        <f>IF(B955="","",IF(ISNA(MATCH(B955,Inventory!$A$2:$A$201,0)),"Check product",E955*D955+F955-I955-G955-H955))</f>
        <v/>
      </c>
      <c r="K955" s="4">
        <f>IF(OR(B955="",NOT(ISNUMBER(J955)),E955*D955+F955=0),"",J955/(E955*D955+F955))</f>
        <v/>
      </c>
    </row>
    <row r="956">
      <c r="A956" s="8" t="n"/>
      <c r="B956" s="6" t="n"/>
      <c r="C956" s="6" t="n"/>
      <c r="D956" s="6" t="n"/>
      <c r="E956" s="7" t="n"/>
      <c r="F956" s="7" t="n"/>
      <c r="G956" s="7" t="n"/>
      <c r="H956" s="3">
        <f>IFERROR(VLOOKUP(B956,Inventory!$A:$B,2,FALSE)*D956,0)</f>
        <v/>
      </c>
      <c r="I956" s="3">
        <f>IF(C956="",0,IFERROR(VLOOKUP(C956,Settings!$A$2:$F$5,2,FALSE)+(E956*D956+F956)*VLOOKUP(C956,Settings!$A$2:$F$5,3,FALSE)/100+(E956*D956+F956)*VLOOKUP(C956,Settings!$A$2:$F$5,4,FALSE)/100+VLOOKUP(C956,Settings!$A$2:$F$5,5,FALSE)+VLOOKUP(C956,Settings!$A$2:$F$5,6,FALSE),0))</f>
        <v/>
      </c>
      <c r="J956" s="3">
        <f>IF(B956="","",IF(ISNA(MATCH(B956,Inventory!$A$2:$A$201,0)),"Check product",E956*D956+F956-I956-G956-H956))</f>
        <v/>
      </c>
      <c r="K956" s="4">
        <f>IF(OR(B956="",NOT(ISNUMBER(J956)),E956*D956+F956=0),"",J956/(E956*D956+F956))</f>
        <v/>
      </c>
    </row>
    <row r="957">
      <c r="A957" s="8" t="n"/>
      <c r="B957" s="6" t="n"/>
      <c r="C957" s="6" t="n"/>
      <c r="D957" s="6" t="n"/>
      <c r="E957" s="7" t="n"/>
      <c r="F957" s="7" t="n"/>
      <c r="G957" s="7" t="n"/>
      <c r="H957" s="3">
        <f>IFERROR(VLOOKUP(B957,Inventory!$A:$B,2,FALSE)*D957,0)</f>
        <v/>
      </c>
      <c r="I957" s="3">
        <f>IF(C957="",0,IFERROR(VLOOKUP(C957,Settings!$A$2:$F$5,2,FALSE)+(E957*D957+F957)*VLOOKUP(C957,Settings!$A$2:$F$5,3,FALSE)/100+(E957*D957+F957)*VLOOKUP(C957,Settings!$A$2:$F$5,4,FALSE)/100+VLOOKUP(C957,Settings!$A$2:$F$5,5,FALSE)+VLOOKUP(C957,Settings!$A$2:$F$5,6,FALSE),0))</f>
        <v/>
      </c>
      <c r="J957" s="3">
        <f>IF(B957="","",IF(ISNA(MATCH(B957,Inventory!$A$2:$A$201,0)),"Check product",E957*D957+F957-I957-G957-H957))</f>
        <v/>
      </c>
      <c r="K957" s="4">
        <f>IF(OR(B957="",NOT(ISNUMBER(J957)),E957*D957+F957=0),"",J957/(E957*D957+F957))</f>
        <v/>
      </c>
    </row>
    <row r="958">
      <c r="A958" s="8" t="n"/>
      <c r="B958" s="6" t="n"/>
      <c r="C958" s="6" t="n"/>
      <c r="D958" s="6" t="n"/>
      <c r="E958" s="7" t="n"/>
      <c r="F958" s="7" t="n"/>
      <c r="G958" s="7" t="n"/>
      <c r="H958" s="3">
        <f>IFERROR(VLOOKUP(B958,Inventory!$A:$B,2,FALSE)*D958,0)</f>
        <v/>
      </c>
      <c r="I958" s="3">
        <f>IF(C958="",0,IFERROR(VLOOKUP(C958,Settings!$A$2:$F$5,2,FALSE)+(E958*D958+F958)*VLOOKUP(C958,Settings!$A$2:$F$5,3,FALSE)/100+(E958*D958+F958)*VLOOKUP(C958,Settings!$A$2:$F$5,4,FALSE)/100+VLOOKUP(C958,Settings!$A$2:$F$5,5,FALSE)+VLOOKUP(C958,Settings!$A$2:$F$5,6,FALSE),0))</f>
        <v/>
      </c>
      <c r="J958" s="3">
        <f>IF(B958="","",IF(ISNA(MATCH(B958,Inventory!$A$2:$A$201,0)),"Check product",E958*D958+F958-I958-G958-H958))</f>
        <v/>
      </c>
      <c r="K958" s="4">
        <f>IF(OR(B958="",NOT(ISNUMBER(J958)),E958*D958+F958=0),"",J958/(E958*D958+F958))</f>
        <v/>
      </c>
    </row>
    <row r="959">
      <c r="A959" s="8" t="n"/>
      <c r="B959" s="6" t="n"/>
      <c r="C959" s="6" t="n"/>
      <c r="D959" s="6" t="n"/>
      <c r="E959" s="7" t="n"/>
      <c r="F959" s="7" t="n"/>
      <c r="G959" s="7" t="n"/>
      <c r="H959" s="3">
        <f>IFERROR(VLOOKUP(B959,Inventory!$A:$B,2,FALSE)*D959,0)</f>
        <v/>
      </c>
      <c r="I959" s="3">
        <f>IF(C959="",0,IFERROR(VLOOKUP(C959,Settings!$A$2:$F$5,2,FALSE)+(E959*D959+F959)*VLOOKUP(C959,Settings!$A$2:$F$5,3,FALSE)/100+(E959*D959+F959)*VLOOKUP(C959,Settings!$A$2:$F$5,4,FALSE)/100+VLOOKUP(C959,Settings!$A$2:$F$5,5,FALSE)+VLOOKUP(C959,Settings!$A$2:$F$5,6,FALSE),0))</f>
        <v/>
      </c>
      <c r="J959" s="3">
        <f>IF(B959="","",IF(ISNA(MATCH(B959,Inventory!$A$2:$A$201,0)),"Check product",E959*D959+F959-I959-G959-H959))</f>
        <v/>
      </c>
      <c r="K959" s="4">
        <f>IF(OR(B959="",NOT(ISNUMBER(J959)),E959*D959+F959=0),"",J959/(E959*D959+F959))</f>
        <v/>
      </c>
    </row>
    <row r="960">
      <c r="A960" s="8" t="n"/>
      <c r="B960" s="6" t="n"/>
      <c r="C960" s="6" t="n"/>
      <c r="D960" s="6" t="n"/>
      <c r="E960" s="7" t="n"/>
      <c r="F960" s="7" t="n"/>
      <c r="G960" s="7" t="n"/>
      <c r="H960" s="3">
        <f>IFERROR(VLOOKUP(B960,Inventory!$A:$B,2,FALSE)*D960,0)</f>
        <v/>
      </c>
      <c r="I960" s="3">
        <f>IF(C960="",0,IFERROR(VLOOKUP(C960,Settings!$A$2:$F$5,2,FALSE)+(E960*D960+F960)*VLOOKUP(C960,Settings!$A$2:$F$5,3,FALSE)/100+(E960*D960+F960)*VLOOKUP(C960,Settings!$A$2:$F$5,4,FALSE)/100+VLOOKUP(C960,Settings!$A$2:$F$5,5,FALSE)+VLOOKUP(C960,Settings!$A$2:$F$5,6,FALSE),0))</f>
        <v/>
      </c>
      <c r="J960" s="3">
        <f>IF(B960="","",IF(ISNA(MATCH(B960,Inventory!$A$2:$A$201,0)),"Check product",E960*D960+F960-I960-G960-H960))</f>
        <v/>
      </c>
      <c r="K960" s="4">
        <f>IF(OR(B960="",NOT(ISNUMBER(J960)),E960*D960+F960=0),"",J960/(E960*D960+F960))</f>
        <v/>
      </c>
    </row>
    <row r="961">
      <c r="A961" s="8" t="n"/>
      <c r="B961" s="6" t="n"/>
      <c r="C961" s="6" t="n"/>
      <c r="D961" s="6" t="n"/>
      <c r="E961" s="7" t="n"/>
      <c r="F961" s="7" t="n"/>
      <c r="G961" s="7" t="n"/>
      <c r="H961" s="3">
        <f>IFERROR(VLOOKUP(B961,Inventory!$A:$B,2,FALSE)*D961,0)</f>
        <v/>
      </c>
      <c r="I961" s="3">
        <f>IF(C961="",0,IFERROR(VLOOKUP(C961,Settings!$A$2:$F$5,2,FALSE)+(E961*D961+F961)*VLOOKUP(C961,Settings!$A$2:$F$5,3,FALSE)/100+(E961*D961+F961)*VLOOKUP(C961,Settings!$A$2:$F$5,4,FALSE)/100+VLOOKUP(C961,Settings!$A$2:$F$5,5,FALSE)+VLOOKUP(C961,Settings!$A$2:$F$5,6,FALSE),0))</f>
        <v/>
      </c>
      <c r="J961" s="3">
        <f>IF(B961="","",IF(ISNA(MATCH(B961,Inventory!$A$2:$A$201,0)),"Check product",E961*D961+F961-I961-G961-H961))</f>
        <v/>
      </c>
      <c r="K961" s="4">
        <f>IF(OR(B961="",NOT(ISNUMBER(J961)),E961*D961+F961=0),"",J961/(E961*D961+F961))</f>
        <v/>
      </c>
    </row>
    <row r="962">
      <c r="A962" s="8" t="n"/>
      <c r="B962" s="6" t="n"/>
      <c r="C962" s="6" t="n"/>
      <c r="D962" s="6" t="n"/>
      <c r="E962" s="7" t="n"/>
      <c r="F962" s="7" t="n"/>
      <c r="G962" s="7" t="n"/>
      <c r="H962" s="3">
        <f>IFERROR(VLOOKUP(B962,Inventory!$A:$B,2,FALSE)*D962,0)</f>
        <v/>
      </c>
      <c r="I962" s="3">
        <f>IF(C962="",0,IFERROR(VLOOKUP(C962,Settings!$A$2:$F$5,2,FALSE)+(E962*D962+F962)*VLOOKUP(C962,Settings!$A$2:$F$5,3,FALSE)/100+(E962*D962+F962)*VLOOKUP(C962,Settings!$A$2:$F$5,4,FALSE)/100+VLOOKUP(C962,Settings!$A$2:$F$5,5,FALSE)+VLOOKUP(C962,Settings!$A$2:$F$5,6,FALSE),0))</f>
        <v/>
      </c>
      <c r="J962" s="3">
        <f>IF(B962="","",IF(ISNA(MATCH(B962,Inventory!$A$2:$A$201,0)),"Check product",E962*D962+F962-I962-G962-H962))</f>
        <v/>
      </c>
      <c r="K962" s="4">
        <f>IF(OR(B962="",NOT(ISNUMBER(J962)),E962*D962+F962=0),"",J962/(E962*D962+F962))</f>
        <v/>
      </c>
    </row>
    <row r="963">
      <c r="A963" s="8" t="n"/>
      <c r="B963" s="6" t="n"/>
      <c r="C963" s="6" t="n"/>
      <c r="D963" s="6" t="n"/>
      <c r="E963" s="7" t="n"/>
      <c r="F963" s="7" t="n"/>
      <c r="G963" s="7" t="n"/>
      <c r="H963" s="3">
        <f>IFERROR(VLOOKUP(B963,Inventory!$A:$B,2,FALSE)*D963,0)</f>
        <v/>
      </c>
      <c r="I963" s="3">
        <f>IF(C963="",0,IFERROR(VLOOKUP(C963,Settings!$A$2:$F$5,2,FALSE)+(E963*D963+F963)*VLOOKUP(C963,Settings!$A$2:$F$5,3,FALSE)/100+(E963*D963+F963)*VLOOKUP(C963,Settings!$A$2:$F$5,4,FALSE)/100+VLOOKUP(C963,Settings!$A$2:$F$5,5,FALSE)+VLOOKUP(C963,Settings!$A$2:$F$5,6,FALSE),0))</f>
        <v/>
      </c>
      <c r="J963" s="3">
        <f>IF(B963="","",IF(ISNA(MATCH(B963,Inventory!$A$2:$A$201,0)),"Check product",E963*D963+F963-I963-G963-H963))</f>
        <v/>
      </c>
      <c r="K963" s="4">
        <f>IF(OR(B963="",NOT(ISNUMBER(J963)),E963*D963+F963=0),"",J963/(E963*D963+F963))</f>
        <v/>
      </c>
    </row>
    <row r="964">
      <c r="A964" s="8" t="n"/>
      <c r="B964" s="6" t="n"/>
      <c r="C964" s="6" t="n"/>
      <c r="D964" s="6" t="n"/>
      <c r="E964" s="7" t="n"/>
      <c r="F964" s="7" t="n"/>
      <c r="G964" s="7" t="n"/>
      <c r="H964" s="3">
        <f>IFERROR(VLOOKUP(B964,Inventory!$A:$B,2,FALSE)*D964,0)</f>
        <v/>
      </c>
      <c r="I964" s="3">
        <f>IF(C964="",0,IFERROR(VLOOKUP(C964,Settings!$A$2:$F$5,2,FALSE)+(E964*D964+F964)*VLOOKUP(C964,Settings!$A$2:$F$5,3,FALSE)/100+(E964*D964+F964)*VLOOKUP(C964,Settings!$A$2:$F$5,4,FALSE)/100+VLOOKUP(C964,Settings!$A$2:$F$5,5,FALSE)+VLOOKUP(C964,Settings!$A$2:$F$5,6,FALSE),0))</f>
        <v/>
      </c>
      <c r="J964" s="3">
        <f>IF(B964="","",IF(ISNA(MATCH(B964,Inventory!$A$2:$A$201,0)),"Check product",E964*D964+F964-I964-G964-H964))</f>
        <v/>
      </c>
      <c r="K964" s="4">
        <f>IF(OR(B964="",NOT(ISNUMBER(J964)),E964*D964+F964=0),"",J964/(E964*D964+F964))</f>
        <v/>
      </c>
    </row>
    <row r="965">
      <c r="A965" s="8" t="n"/>
      <c r="B965" s="6" t="n"/>
      <c r="C965" s="6" t="n"/>
      <c r="D965" s="6" t="n"/>
      <c r="E965" s="7" t="n"/>
      <c r="F965" s="7" t="n"/>
      <c r="G965" s="7" t="n"/>
      <c r="H965" s="3">
        <f>IFERROR(VLOOKUP(B965,Inventory!$A:$B,2,FALSE)*D965,0)</f>
        <v/>
      </c>
      <c r="I965" s="3">
        <f>IF(C965="",0,IFERROR(VLOOKUP(C965,Settings!$A$2:$F$5,2,FALSE)+(E965*D965+F965)*VLOOKUP(C965,Settings!$A$2:$F$5,3,FALSE)/100+(E965*D965+F965)*VLOOKUP(C965,Settings!$A$2:$F$5,4,FALSE)/100+VLOOKUP(C965,Settings!$A$2:$F$5,5,FALSE)+VLOOKUP(C965,Settings!$A$2:$F$5,6,FALSE),0))</f>
        <v/>
      </c>
      <c r="J965" s="3">
        <f>IF(B965="","",IF(ISNA(MATCH(B965,Inventory!$A$2:$A$201,0)),"Check product",E965*D965+F965-I965-G965-H965))</f>
        <v/>
      </c>
      <c r="K965" s="4">
        <f>IF(OR(B965="",NOT(ISNUMBER(J965)),E965*D965+F965=0),"",J965/(E965*D965+F965))</f>
        <v/>
      </c>
    </row>
    <row r="966">
      <c r="A966" s="8" t="n"/>
      <c r="B966" s="6" t="n"/>
      <c r="C966" s="6" t="n"/>
      <c r="D966" s="6" t="n"/>
      <c r="E966" s="7" t="n"/>
      <c r="F966" s="7" t="n"/>
      <c r="G966" s="7" t="n"/>
      <c r="H966" s="3">
        <f>IFERROR(VLOOKUP(B966,Inventory!$A:$B,2,FALSE)*D966,0)</f>
        <v/>
      </c>
      <c r="I966" s="3">
        <f>IF(C966="",0,IFERROR(VLOOKUP(C966,Settings!$A$2:$F$5,2,FALSE)+(E966*D966+F966)*VLOOKUP(C966,Settings!$A$2:$F$5,3,FALSE)/100+(E966*D966+F966)*VLOOKUP(C966,Settings!$A$2:$F$5,4,FALSE)/100+VLOOKUP(C966,Settings!$A$2:$F$5,5,FALSE)+VLOOKUP(C966,Settings!$A$2:$F$5,6,FALSE),0))</f>
        <v/>
      </c>
      <c r="J966" s="3">
        <f>IF(B966="","",IF(ISNA(MATCH(B966,Inventory!$A$2:$A$201,0)),"Check product",E966*D966+F966-I966-G966-H966))</f>
        <v/>
      </c>
      <c r="K966" s="4">
        <f>IF(OR(B966="",NOT(ISNUMBER(J966)),E966*D966+F966=0),"",J966/(E966*D966+F966))</f>
        <v/>
      </c>
    </row>
    <row r="967">
      <c r="A967" s="8" t="n"/>
      <c r="B967" s="6" t="n"/>
      <c r="C967" s="6" t="n"/>
      <c r="D967" s="6" t="n"/>
      <c r="E967" s="7" t="n"/>
      <c r="F967" s="7" t="n"/>
      <c r="G967" s="7" t="n"/>
      <c r="H967" s="3">
        <f>IFERROR(VLOOKUP(B967,Inventory!$A:$B,2,FALSE)*D967,0)</f>
        <v/>
      </c>
      <c r="I967" s="3">
        <f>IF(C967="",0,IFERROR(VLOOKUP(C967,Settings!$A$2:$F$5,2,FALSE)+(E967*D967+F967)*VLOOKUP(C967,Settings!$A$2:$F$5,3,FALSE)/100+(E967*D967+F967)*VLOOKUP(C967,Settings!$A$2:$F$5,4,FALSE)/100+VLOOKUP(C967,Settings!$A$2:$F$5,5,FALSE)+VLOOKUP(C967,Settings!$A$2:$F$5,6,FALSE),0))</f>
        <v/>
      </c>
      <c r="J967" s="3">
        <f>IF(B967="","",IF(ISNA(MATCH(B967,Inventory!$A$2:$A$201,0)),"Check product",E967*D967+F967-I967-G967-H967))</f>
        <v/>
      </c>
      <c r="K967" s="4">
        <f>IF(OR(B967="",NOT(ISNUMBER(J967)),E967*D967+F967=0),"",J967/(E967*D967+F967))</f>
        <v/>
      </c>
    </row>
    <row r="968">
      <c r="A968" s="8" t="n"/>
      <c r="B968" s="6" t="n"/>
      <c r="C968" s="6" t="n"/>
      <c r="D968" s="6" t="n"/>
      <c r="E968" s="7" t="n"/>
      <c r="F968" s="7" t="n"/>
      <c r="G968" s="7" t="n"/>
      <c r="H968" s="3">
        <f>IFERROR(VLOOKUP(B968,Inventory!$A:$B,2,FALSE)*D968,0)</f>
        <v/>
      </c>
      <c r="I968" s="3">
        <f>IF(C968="",0,IFERROR(VLOOKUP(C968,Settings!$A$2:$F$5,2,FALSE)+(E968*D968+F968)*VLOOKUP(C968,Settings!$A$2:$F$5,3,FALSE)/100+(E968*D968+F968)*VLOOKUP(C968,Settings!$A$2:$F$5,4,FALSE)/100+VLOOKUP(C968,Settings!$A$2:$F$5,5,FALSE)+VLOOKUP(C968,Settings!$A$2:$F$5,6,FALSE),0))</f>
        <v/>
      </c>
      <c r="J968" s="3">
        <f>IF(B968="","",IF(ISNA(MATCH(B968,Inventory!$A$2:$A$201,0)),"Check product",E968*D968+F968-I968-G968-H968))</f>
        <v/>
      </c>
      <c r="K968" s="4">
        <f>IF(OR(B968="",NOT(ISNUMBER(J968)),E968*D968+F968=0),"",J968/(E968*D968+F968))</f>
        <v/>
      </c>
    </row>
    <row r="969">
      <c r="A969" s="8" t="n"/>
      <c r="B969" s="6" t="n"/>
      <c r="C969" s="6" t="n"/>
      <c r="D969" s="6" t="n"/>
      <c r="E969" s="7" t="n"/>
      <c r="F969" s="7" t="n"/>
      <c r="G969" s="7" t="n"/>
      <c r="H969" s="3">
        <f>IFERROR(VLOOKUP(B969,Inventory!$A:$B,2,FALSE)*D969,0)</f>
        <v/>
      </c>
      <c r="I969" s="3">
        <f>IF(C969="",0,IFERROR(VLOOKUP(C969,Settings!$A$2:$F$5,2,FALSE)+(E969*D969+F969)*VLOOKUP(C969,Settings!$A$2:$F$5,3,FALSE)/100+(E969*D969+F969)*VLOOKUP(C969,Settings!$A$2:$F$5,4,FALSE)/100+VLOOKUP(C969,Settings!$A$2:$F$5,5,FALSE)+VLOOKUP(C969,Settings!$A$2:$F$5,6,FALSE),0))</f>
        <v/>
      </c>
      <c r="J969" s="3">
        <f>IF(B969="","",IF(ISNA(MATCH(B969,Inventory!$A$2:$A$201,0)),"Check product",E969*D969+F969-I969-G969-H969))</f>
        <v/>
      </c>
      <c r="K969" s="4">
        <f>IF(OR(B969="",NOT(ISNUMBER(J969)),E969*D969+F969=0),"",J969/(E969*D969+F969))</f>
        <v/>
      </c>
    </row>
    <row r="970">
      <c r="A970" s="8" t="n"/>
      <c r="B970" s="6" t="n"/>
      <c r="C970" s="6" t="n"/>
      <c r="D970" s="6" t="n"/>
      <c r="E970" s="7" t="n"/>
      <c r="F970" s="7" t="n"/>
      <c r="G970" s="7" t="n"/>
      <c r="H970" s="3">
        <f>IFERROR(VLOOKUP(B970,Inventory!$A:$B,2,FALSE)*D970,0)</f>
        <v/>
      </c>
      <c r="I970" s="3">
        <f>IF(C970="",0,IFERROR(VLOOKUP(C970,Settings!$A$2:$F$5,2,FALSE)+(E970*D970+F970)*VLOOKUP(C970,Settings!$A$2:$F$5,3,FALSE)/100+(E970*D970+F970)*VLOOKUP(C970,Settings!$A$2:$F$5,4,FALSE)/100+VLOOKUP(C970,Settings!$A$2:$F$5,5,FALSE)+VLOOKUP(C970,Settings!$A$2:$F$5,6,FALSE),0))</f>
        <v/>
      </c>
      <c r="J970" s="3">
        <f>IF(B970="","",IF(ISNA(MATCH(B970,Inventory!$A$2:$A$201,0)),"Check product",E970*D970+F970-I970-G970-H970))</f>
        <v/>
      </c>
      <c r="K970" s="4">
        <f>IF(OR(B970="",NOT(ISNUMBER(J970)),E970*D970+F970=0),"",J970/(E970*D970+F970))</f>
        <v/>
      </c>
    </row>
    <row r="971">
      <c r="A971" s="8" t="n"/>
      <c r="B971" s="6" t="n"/>
      <c r="C971" s="6" t="n"/>
      <c r="D971" s="6" t="n"/>
      <c r="E971" s="7" t="n"/>
      <c r="F971" s="7" t="n"/>
      <c r="G971" s="7" t="n"/>
      <c r="H971" s="3">
        <f>IFERROR(VLOOKUP(B971,Inventory!$A:$B,2,FALSE)*D971,0)</f>
        <v/>
      </c>
      <c r="I971" s="3">
        <f>IF(C971="",0,IFERROR(VLOOKUP(C971,Settings!$A$2:$F$5,2,FALSE)+(E971*D971+F971)*VLOOKUP(C971,Settings!$A$2:$F$5,3,FALSE)/100+(E971*D971+F971)*VLOOKUP(C971,Settings!$A$2:$F$5,4,FALSE)/100+VLOOKUP(C971,Settings!$A$2:$F$5,5,FALSE)+VLOOKUP(C971,Settings!$A$2:$F$5,6,FALSE),0))</f>
        <v/>
      </c>
      <c r="J971" s="3">
        <f>IF(B971="","",IF(ISNA(MATCH(B971,Inventory!$A$2:$A$201,0)),"Check product",E971*D971+F971-I971-G971-H971))</f>
        <v/>
      </c>
      <c r="K971" s="4">
        <f>IF(OR(B971="",NOT(ISNUMBER(J971)),E971*D971+F971=0),"",J971/(E971*D971+F971))</f>
        <v/>
      </c>
    </row>
    <row r="972">
      <c r="A972" s="8" t="n"/>
      <c r="B972" s="6" t="n"/>
      <c r="C972" s="6" t="n"/>
      <c r="D972" s="6" t="n"/>
      <c r="E972" s="7" t="n"/>
      <c r="F972" s="7" t="n"/>
      <c r="G972" s="7" t="n"/>
      <c r="H972" s="3">
        <f>IFERROR(VLOOKUP(B972,Inventory!$A:$B,2,FALSE)*D972,0)</f>
        <v/>
      </c>
      <c r="I972" s="3">
        <f>IF(C972="",0,IFERROR(VLOOKUP(C972,Settings!$A$2:$F$5,2,FALSE)+(E972*D972+F972)*VLOOKUP(C972,Settings!$A$2:$F$5,3,FALSE)/100+(E972*D972+F972)*VLOOKUP(C972,Settings!$A$2:$F$5,4,FALSE)/100+VLOOKUP(C972,Settings!$A$2:$F$5,5,FALSE)+VLOOKUP(C972,Settings!$A$2:$F$5,6,FALSE),0))</f>
        <v/>
      </c>
      <c r="J972" s="3">
        <f>IF(B972="","",IF(ISNA(MATCH(B972,Inventory!$A$2:$A$201,0)),"Check product",E972*D972+F972-I972-G972-H972))</f>
        <v/>
      </c>
      <c r="K972" s="4">
        <f>IF(OR(B972="",NOT(ISNUMBER(J972)),E972*D972+F972=0),"",J972/(E972*D972+F972))</f>
        <v/>
      </c>
    </row>
    <row r="973">
      <c r="A973" s="8" t="n"/>
      <c r="B973" s="6" t="n"/>
      <c r="C973" s="6" t="n"/>
      <c r="D973" s="6" t="n"/>
      <c r="E973" s="7" t="n"/>
      <c r="F973" s="7" t="n"/>
      <c r="G973" s="7" t="n"/>
      <c r="H973" s="3">
        <f>IFERROR(VLOOKUP(B973,Inventory!$A:$B,2,FALSE)*D973,0)</f>
        <v/>
      </c>
      <c r="I973" s="3">
        <f>IF(C973="",0,IFERROR(VLOOKUP(C973,Settings!$A$2:$F$5,2,FALSE)+(E973*D973+F973)*VLOOKUP(C973,Settings!$A$2:$F$5,3,FALSE)/100+(E973*D973+F973)*VLOOKUP(C973,Settings!$A$2:$F$5,4,FALSE)/100+VLOOKUP(C973,Settings!$A$2:$F$5,5,FALSE)+VLOOKUP(C973,Settings!$A$2:$F$5,6,FALSE),0))</f>
        <v/>
      </c>
      <c r="J973" s="3">
        <f>IF(B973="","",IF(ISNA(MATCH(B973,Inventory!$A$2:$A$201,0)),"Check product",E973*D973+F973-I973-G973-H973))</f>
        <v/>
      </c>
      <c r="K973" s="4">
        <f>IF(OR(B973="",NOT(ISNUMBER(J973)),E973*D973+F973=0),"",J973/(E973*D973+F973))</f>
        <v/>
      </c>
    </row>
    <row r="974">
      <c r="A974" s="8" t="n"/>
      <c r="B974" s="6" t="n"/>
      <c r="C974" s="6" t="n"/>
      <c r="D974" s="6" t="n"/>
      <c r="E974" s="7" t="n"/>
      <c r="F974" s="7" t="n"/>
      <c r="G974" s="7" t="n"/>
      <c r="H974" s="3">
        <f>IFERROR(VLOOKUP(B974,Inventory!$A:$B,2,FALSE)*D974,0)</f>
        <v/>
      </c>
      <c r="I974" s="3">
        <f>IF(C974="",0,IFERROR(VLOOKUP(C974,Settings!$A$2:$F$5,2,FALSE)+(E974*D974+F974)*VLOOKUP(C974,Settings!$A$2:$F$5,3,FALSE)/100+(E974*D974+F974)*VLOOKUP(C974,Settings!$A$2:$F$5,4,FALSE)/100+VLOOKUP(C974,Settings!$A$2:$F$5,5,FALSE)+VLOOKUP(C974,Settings!$A$2:$F$5,6,FALSE),0))</f>
        <v/>
      </c>
      <c r="J974" s="3">
        <f>IF(B974="","",IF(ISNA(MATCH(B974,Inventory!$A$2:$A$201,0)),"Check product",E974*D974+F974-I974-G974-H974))</f>
        <v/>
      </c>
      <c r="K974" s="4">
        <f>IF(OR(B974="",NOT(ISNUMBER(J974)),E974*D974+F974=0),"",J974/(E974*D974+F974))</f>
        <v/>
      </c>
    </row>
    <row r="975">
      <c r="A975" s="8" t="n"/>
      <c r="B975" s="6" t="n"/>
      <c r="C975" s="6" t="n"/>
      <c r="D975" s="6" t="n"/>
      <c r="E975" s="7" t="n"/>
      <c r="F975" s="7" t="n"/>
      <c r="G975" s="7" t="n"/>
      <c r="H975" s="3">
        <f>IFERROR(VLOOKUP(B975,Inventory!$A:$B,2,FALSE)*D975,0)</f>
        <v/>
      </c>
      <c r="I975" s="3">
        <f>IF(C975="",0,IFERROR(VLOOKUP(C975,Settings!$A$2:$F$5,2,FALSE)+(E975*D975+F975)*VLOOKUP(C975,Settings!$A$2:$F$5,3,FALSE)/100+(E975*D975+F975)*VLOOKUP(C975,Settings!$A$2:$F$5,4,FALSE)/100+VLOOKUP(C975,Settings!$A$2:$F$5,5,FALSE)+VLOOKUP(C975,Settings!$A$2:$F$5,6,FALSE),0))</f>
        <v/>
      </c>
      <c r="J975" s="3">
        <f>IF(B975="","",IF(ISNA(MATCH(B975,Inventory!$A$2:$A$201,0)),"Check product",E975*D975+F975-I975-G975-H975))</f>
        <v/>
      </c>
      <c r="K975" s="4">
        <f>IF(OR(B975="",NOT(ISNUMBER(J975)),E975*D975+F975=0),"",J975/(E975*D975+F975))</f>
        <v/>
      </c>
    </row>
    <row r="976">
      <c r="A976" s="8" t="n"/>
      <c r="B976" s="6" t="n"/>
      <c r="C976" s="6" t="n"/>
      <c r="D976" s="6" t="n"/>
      <c r="E976" s="7" t="n"/>
      <c r="F976" s="7" t="n"/>
      <c r="G976" s="7" t="n"/>
      <c r="H976" s="3">
        <f>IFERROR(VLOOKUP(B976,Inventory!$A:$B,2,FALSE)*D976,0)</f>
        <v/>
      </c>
      <c r="I976" s="3">
        <f>IF(C976="",0,IFERROR(VLOOKUP(C976,Settings!$A$2:$F$5,2,FALSE)+(E976*D976+F976)*VLOOKUP(C976,Settings!$A$2:$F$5,3,FALSE)/100+(E976*D976+F976)*VLOOKUP(C976,Settings!$A$2:$F$5,4,FALSE)/100+VLOOKUP(C976,Settings!$A$2:$F$5,5,FALSE)+VLOOKUP(C976,Settings!$A$2:$F$5,6,FALSE),0))</f>
        <v/>
      </c>
      <c r="J976" s="3">
        <f>IF(B976="","",IF(ISNA(MATCH(B976,Inventory!$A$2:$A$201,0)),"Check product",E976*D976+F976-I976-G976-H976))</f>
        <v/>
      </c>
      <c r="K976" s="4">
        <f>IF(OR(B976="",NOT(ISNUMBER(J976)),E976*D976+F976=0),"",J976/(E976*D976+F976))</f>
        <v/>
      </c>
    </row>
    <row r="977">
      <c r="A977" s="8" t="n"/>
      <c r="B977" s="6" t="n"/>
      <c r="C977" s="6" t="n"/>
      <c r="D977" s="6" t="n"/>
      <c r="E977" s="7" t="n"/>
      <c r="F977" s="7" t="n"/>
      <c r="G977" s="7" t="n"/>
      <c r="H977" s="3">
        <f>IFERROR(VLOOKUP(B977,Inventory!$A:$B,2,FALSE)*D977,0)</f>
        <v/>
      </c>
      <c r="I977" s="3">
        <f>IF(C977="",0,IFERROR(VLOOKUP(C977,Settings!$A$2:$F$5,2,FALSE)+(E977*D977+F977)*VLOOKUP(C977,Settings!$A$2:$F$5,3,FALSE)/100+(E977*D977+F977)*VLOOKUP(C977,Settings!$A$2:$F$5,4,FALSE)/100+VLOOKUP(C977,Settings!$A$2:$F$5,5,FALSE)+VLOOKUP(C977,Settings!$A$2:$F$5,6,FALSE),0))</f>
        <v/>
      </c>
      <c r="J977" s="3">
        <f>IF(B977="","",IF(ISNA(MATCH(B977,Inventory!$A$2:$A$201,0)),"Check product",E977*D977+F977-I977-G977-H977))</f>
        <v/>
      </c>
      <c r="K977" s="4">
        <f>IF(OR(B977="",NOT(ISNUMBER(J977)),E977*D977+F977=0),"",J977/(E977*D977+F977))</f>
        <v/>
      </c>
    </row>
    <row r="978">
      <c r="A978" s="8" t="n"/>
      <c r="B978" s="6" t="n"/>
      <c r="C978" s="6" t="n"/>
      <c r="D978" s="6" t="n"/>
      <c r="E978" s="7" t="n"/>
      <c r="F978" s="7" t="n"/>
      <c r="G978" s="7" t="n"/>
      <c r="H978" s="3">
        <f>IFERROR(VLOOKUP(B978,Inventory!$A:$B,2,FALSE)*D978,0)</f>
        <v/>
      </c>
      <c r="I978" s="3">
        <f>IF(C978="",0,IFERROR(VLOOKUP(C978,Settings!$A$2:$F$5,2,FALSE)+(E978*D978+F978)*VLOOKUP(C978,Settings!$A$2:$F$5,3,FALSE)/100+(E978*D978+F978)*VLOOKUP(C978,Settings!$A$2:$F$5,4,FALSE)/100+VLOOKUP(C978,Settings!$A$2:$F$5,5,FALSE)+VLOOKUP(C978,Settings!$A$2:$F$5,6,FALSE),0))</f>
        <v/>
      </c>
      <c r="J978" s="3">
        <f>IF(B978="","",IF(ISNA(MATCH(B978,Inventory!$A$2:$A$201,0)),"Check product",E978*D978+F978-I978-G978-H978))</f>
        <v/>
      </c>
      <c r="K978" s="4">
        <f>IF(OR(B978="",NOT(ISNUMBER(J978)),E978*D978+F978=0),"",J978/(E978*D978+F978))</f>
        <v/>
      </c>
    </row>
    <row r="979">
      <c r="A979" s="8" t="n"/>
      <c r="B979" s="6" t="n"/>
      <c r="C979" s="6" t="n"/>
      <c r="D979" s="6" t="n"/>
      <c r="E979" s="7" t="n"/>
      <c r="F979" s="7" t="n"/>
      <c r="G979" s="7" t="n"/>
      <c r="H979" s="3">
        <f>IFERROR(VLOOKUP(B979,Inventory!$A:$B,2,FALSE)*D979,0)</f>
        <v/>
      </c>
      <c r="I979" s="3">
        <f>IF(C979="",0,IFERROR(VLOOKUP(C979,Settings!$A$2:$F$5,2,FALSE)+(E979*D979+F979)*VLOOKUP(C979,Settings!$A$2:$F$5,3,FALSE)/100+(E979*D979+F979)*VLOOKUP(C979,Settings!$A$2:$F$5,4,FALSE)/100+VLOOKUP(C979,Settings!$A$2:$F$5,5,FALSE)+VLOOKUP(C979,Settings!$A$2:$F$5,6,FALSE),0))</f>
        <v/>
      </c>
      <c r="J979" s="3">
        <f>IF(B979="","",IF(ISNA(MATCH(B979,Inventory!$A$2:$A$201,0)),"Check product",E979*D979+F979-I979-G979-H979))</f>
        <v/>
      </c>
      <c r="K979" s="4">
        <f>IF(OR(B979="",NOT(ISNUMBER(J979)),E979*D979+F979=0),"",J979/(E979*D979+F979))</f>
        <v/>
      </c>
    </row>
    <row r="980">
      <c r="A980" s="8" t="n"/>
      <c r="B980" s="6" t="n"/>
      <c r="C980" s="6" t="n"/>
      <c r="D980" s="6" t="n"/>
      <c r="E980" s="7" t="n"/>
      <c r="F980" s="7" t="n"/>
      <c r="G980" s="7" t="n"/>
      <c r="H980" s="3">
        <f>IFERROR(VLOOKUP(B980,Inventory!$A:$B,2,FALSE)*D980,0)</f>
        <v/>
      </c>
      <c r="I980" s="3">
        <f>IF(C980="",0,IFERROR(VLOOKUP(C980,Settings!$A$2:$F$5,2,FALSE)+(E980*D980+F980)*VLOOKUP(C980,Settings!$A$2:$F$5,3,FALSE)/100+(E980*D980+F980)*VLOOKUP(C980,Settings!$A$2:$F$5,4,FALSE)/100+VLOOKUP(C980,Settings!$A$2:$F$5,5,FALSE)+VLOOKUP(C980,Settings!$A$2:$F$5,6,FALSE),0))</f>
        <v/>
      </c>
      <c r="J980" s="3">
        <f>IF(B980="","",IF(ISNA(MATCH(B980,Inventory!$A$2:$A$201,0)),"Check product",E980*D980+F980-I980-G980-H980))</f>
        <v/>
      </c>
      <c r="K980" s="4">
        <f>IF(OR(B980="",NOT(ISNUMBER(J980)),E980*D980+F980=0),"",J980/(E980*D980+F980))</f>
        <v/>
      </c>
    </row>
    <row r="981">
      <c r="A981" s="8" t="n"/>
      <c r="B981" s="6" t="n"/>
      <c r="C981" s="6" t="n"/>
      <c r="D981" s="6" t="n"/>
      <c r="E981" s="7" t="n"/>
      <c r="F981" s="7" t="n"/>
      <c r="G981" s="7" t="n"/>
      <c r="H981" s="3">
        <f>IFERROR(VLOOKUP(B981,Inventory!$A:$B,2,FALSE)*D981,0)</f>
        <v/>
      </c>
      <c r="I981" s="3">
        <f>IF(C981="",0,IFERROR(VLOOKUP(C981,Settings!$A$2:$F$5,2,FALSE)+(E981*D981+F981)*VLOOKUP(C981,Settings!$A$2:$F$5,3,FALSE)/100+(E981*D981+F981)*VLOOKUP(C981,Settings!$A$2:$F$5,4,FALSE)/100+VLOOKUP(C981,Settings!$A$2:$F$5,5,FALSE)+VLOOKUP(C981,Settings!$A$2:$F$5,6,FALSE),0))</f>
        <v/>
      </c>
      <c r="J981" s="3">
        <f>IF(B981="","",IF(ISNA(MATCH(B981,Inventory!$A$2:$A$201,0)),"Check product",E981*D981+F981-I981-G981-H981))</f>
        <v/>
      </c>
      <c r="K981" s="4">
        <f>IF(OR(B981="",NOT(ISNUMBER(J981)),E981*D981+F981=0),"",J981/(E981*D981+F981))</f>
        <v/>
      </c>
    </row>
    <row r="982">
      <c r="A982" s="8" t="n"/>
      <c r="B982" s="6" t="n"/>
      <c r="C982" s="6" t="n"/>
      <c r="D982" s="6" t="n"/>
      <c r="E982" s="7" t="n"/>
      <c r="F982" s="7" t="n"/>
      <c r="G982" s="7" t="n"/>
      <c r="H982" s="3">
        <f>IFERROR(VLOOKUP(B982,Inventory!$A:$B,2,FALSE)*D982,0)</f>
        <v/>
      </c>
      <c r="I982" s="3">
        <f>IF(C982="",0,IFERROR(VLOOKUP(C982,Settings!$A$2:$F$5,2,FALSE)+(E982*D982+F982)*VLOOKUP(C982,Settings!$A$2:$F$5,3,FALSE)/100+(E982*D982+F982)*VLOOKUP(C982,Settings!$A$2:$F$5,4,FALSE)/100+VLOOKUP(C982,Settings!$A$2:$F$5,5,FALSE)+VLOOKUP(C982,Settings!$A$2:$F$5,6,FALSE),0))</f>
        <v/>
      </c>
      <c r="J982" s="3">
        <f>IF(B982="","",IF(ISNA(MATCH(B982,Inventory!$A$2:$A$201,0)),"Check product",E982*D982+F982-I982-G982-H982))</f>
        <v/>
      </c>
      <c r="K982" s="4">
        <f>IF(OR(B982="",NOT(ISNUMBER(J982)),E982*D982+F982=0),"",J982/(E982*D982+F982))</f>
        <v/>
      </c>
    </row>
    <row r="983">
      <c r="A983" s="8" t="n"/>
      <c r="B983" s="6" t="n"/>
      <c r="C983" s="6" t="n"/>
      <c r="D983" s="6" t="n"/>
      <c r="E983" s="7" t="n"/>
      <c r="F983" s="7" t="n"/>
      <c r="G983" s="7" t="n"/>
      <c r="H983" s="3">
        <f>IFERROR(VLOOKUP(B983,Inventory!$A:$B,2,FALSE)*D983,0)</f>
        <v/>
      </c>
      <c r="I983" s="3">
        <f>IF(C983="",0,IFERROR(VLOOKUP(C983,Settings!$A$2:$F$5,2,FALSE)+(E983*D983+F983)*VLOOKUP(C983,Settings!$A$2:$F$5,3,FALSE)/100+(E983*D983+F983)*VLOOKUP(C983,Settings!$A$2:$F$5,4,FALSE)/100+VLOOKUP(C983,Settings!$A$2:$F$5,5,FALSE)+VLOOKUP(C983,Settings!$A$2:$F$5,6,FALSE),0))</f>
        <v/>
      </c>
      <c r="J983" s="3">
        <f>IF(B983="","",IF(ISNA(MATCH(B983,Inventory!$A$2:$A$201,0)),"Check product",E983*D983+F983-I983-G983-H983))</f>
        <v/>
      </c>
      <c r="K983" s="4">
        <f>IF(OR(B983="",NOT(ISNUMBER(J983)),E983*D983+F983=0),"",J983/(E983*D983+F983))</f>
        <v/>
      </c>
    </row>
    <row r="984">
      <c r="A984" s="8" t="n"/>
      <c r="B984" s="6" t="n"/>
      <c r="C984" s="6" t="n"/>
      <c r="D984" s="6" t="n"/>
      <c r="E984" s="7" t="n"/>
      <c r="F984" s="7" t="n"/>
      <c r="G984" s="7" t="n"/>
      <c r="H984" s="3">
        <f>IFERROR(VLOOKUP(B984,Inventory!$A:$B,2,FALSE)*D984,0)</f>
        <v/>
      </c>
      <c r="I984" s="3">
        <f>IF(C984="",0,IFERROR(VLOOKUP(C984,Settings!$A$2:$F$5,2,FALSE)+(E984*D984+F984)*VLOOKUP(C984,Settings!$A$2:$F$5,3,FALSE)/100+(E984*D984+F984)*VLOOKUP(C984,Settings!$A$2:$F$5,4,FALSE)/100+VLOOKUP(C984,Settings!$A$2:$F$5,5,FALSE)+VLOOKUP(C984,Settings!$A$2:$F$5,6,FALSE),0))</f>
        <v/>
      </c>
      <c r="J984" s="3">
        <f>IF(B984="","",IF(ISNA(MATCH(B984,Inventory!$A$2:$A$201,0)),"Check product",E984*D984+F984-I984-G984-H984))</f>
        <v/>
      </c>
      <c r="K984" s="4">
        <f>IF(OR(B984="",NOT(ISNUMBER(J984)),E984*D984+F984=0),"",J984/(E984*D984+F984))</f>
        <v/>
      </c>
    </row>
    <row r="985">
      <c r="A985" s="8" t="n"/>
      <c r="B985" s="6" t="n"/>
      <c r="C985" s="6" t="n"/>
      <c r="D985" s="6" t="n"/>
      <c r="E985" s="7" t="n"/>
      <c r="F985" s="7" t="n"/>
      <c r="G985" s="7" t="n"/>
      <c r="H985" s="3">
        <f>IFERROR(VLOOKUP(B985,Inventory!$A:$B,2,FALSE)*D985,0)</f>
        <v/>
      </c>
      <c r="I985" s="3">
        <f>IF(C985="",0,IFERROR(VLOOKUP(C985,Settings!$A$2:$F$5,2,FALSE)+(E985*D985+F985)*VLOOKUP(C985,Settings!$A$2:$F$5,3,FALSE)/100+(E985*D985+F985)*VLOOKUP(C985,Settings!$A$2:$F$5,4,FALSE)/100+VLOOKUP(C985,Settings!$A$2:$F$5,5,FALSE)+VLOOKUP(C985,Settings!$A$2:$F$5,6,FALSE),0))</f>
        <v/>
      </c>
      <c r="J985" s="3">
        <f>IF(B985="","",IF(ISNA(MATCH(B985,Inventory!$A$2:$A$201,0)),"Check product",E985*D985+F985-I985-G985-H985))</f>
        <v/>
      </c>
      <c r="K985" s="4">
        <f>IF(OR(B985="",NOT(ISNUMBER(J985)),E985*D985+F985=0),"",J985/(E985*D985+F985))</f>
        <v/>
      </c>
    </row>
    <row r="986">
      <c r="A986" s="8" t="n"/>
      <c r="B986" s="6" t="n"/>
      <c r="C986" s="6" t="n"/>
      <c r="D986" s="6" t="n"/>
      <c r="E986" s="7" t="n"/>
      <c r="F986" s="7" t="n"/>
      <c r="G986" s="7" t="n"/>
      <c r="H986" s="3">
        <f>IFERROR(VLOOKUP(B986,Inventory!$A:$B,2,FALSE)*D986,0)</f>
        <v/>
      </c>
      <c r="I986" s="3">
        <f>IF(C986="",0,IFERROR(VLOOKUP(C986,Settings!$A$2:$F$5,2,FALSE)+(E986*D986+F986)*VLOOKUP(C986,Settings!$A$2:$F$5,3,FALSE)/100+(E986*D986+F986)*VLOOKUP(C986,Settings!$A$2:$F$5,4,FALSE)/100+VLOOKUP(C986,Settings!$A$2:$F$5,5,FALSE)+VLOOKUP(C986,Settings!$A$2:$F$5,6,FALSE),0))</f>
        <v/>
      </c>
      <c r="J986" s="3">
        <f>IF(B986="","",IF(ISNA(MATCH(B986,Inventory!$A$2:$A$201,0)),"Check product",E986*D986+F986-I986-G986-H986))</f>
        <v/>
      </c>
      <c r="K986" s="4">
        <f>IF(OR(B986="",NOT(ISNUMBER(J986)),E986*D986+F986=0),"",J986/(E986*D986+F986))</f>
        <v/>
      </c>
    </row>
    <row r="987">
      <c r="A987" s="8" t="n"/>
      <c r="B987" s="6" t="n"/>
      <c r="C987" s="6" t="n"/>
      <c r="D987" s="6" t="n"/>
      <c r="E987" s="7" t="n"/>
      <c r="F987" s="7" t="n"/>
      <c r="G987" s="7" t="n"/>
      <c r="H987" s="3">
        <f>IFERROR(VLOOKUP(B987,Inventory!$A:$B,2,FALSE)*D987,0)</f>
        <v/>
      </c>
      <c r="I987" s="3">
        <f>IF(C987="",0,IFERROR(VLOOKUP(C987,Settings!$A$2:$F$5,2,FALSE)+(E987*D987+F987)*VLOOKUP(C987,Settings!$A$2:$F$5,3,FALSE)/100+(E987*D987+F987)*VLOOKUP(C987,Settings!$A$2:$F$5,4,FALSE)/100+VLOOKUP(C987,Settings!$A$2:$F$5,5,FALSE)+VLOOKUP(C987,Settings!$A$2:$F$5,6,FALSE),0))</f>
        <v/>
      </c>
      <c r="J987" s="3">
        <f>IF(B987="","",IF(ISNA(MATCH(B987,Inventory!$A$2:$A$201,0)),"Check product",E987*D987+F987-I987-G987-H987))</f>
        <v/>
      </c>
      <c r="K987" s="4">
        <f>IF(OR(B987="",NOT(ISNUMBER(J987)),E987*D987+F987=0),"",J987/(E987*D987+F987))</f>
        <v/>
      </c>
    </row>
    <row r="988">
      <c r="A988" s="8" t="n"/>
      <c r="B988" s="6" t="n"/>
      <c r="C988" s="6" t="n"/>
      <c r="D988" s="6" t="n"/>
      <c r="E988" s="7" t="n"/>
      <c r="F988" s="7" t="n"/>
      <c r="G988" s="7" t="n"/>
      <c r="H988" s="3">
        <f>IFERROR(VLOOKUP(B988,Inventory!$A:$B,2,FALSE)*D988,0)</f>
        <v/>
      </c>
      <c r="I988" s="3">
        <f>IF(C988="",0,IFERROR(VLOOKUP(C988,Settings!$A$2:$F$5,2,FALSE)+(E988*D988+F988)*VLOOKUP(C988,Settings!$A$2:$F$5,3,FALSE)/100+(E988*D988+F988)*VLOOKUP(C988,Settings!$A$2:$F$5,4,FALSE)/100+VLOOKUP(C988,Settings!$A$2:$F$5,5,FALSE)+VLOOKUP(C988,Settings!$A$2:$F$5,6,FALSE),0))</f>
        <v/>
      </c>
      <c r="J988" s="3">
        <f>IF(B988="","",IF(ISNA(MATCH(B988,Inventory!$A$2:$A$201,0)),"Check product",E988*D988+F988-I988-G988-H988))</f>
        <v/>
      </c>
      <c r="K988" s="4">
        <f>IF(OR(B988="",NOT(ISNUMBER(J988)),E988*D988+F988=0),"",J988/(E988*D988+F988))</f>
        <v/>
      </c>
    </row>
    <row r="989">
      <c r="A989" s="8" t="n"/>
      <c r="B989" s="6" t="n"/>
      <c r="C989" s="6" t="n"/>
      <c r="D989" s="6" t="n"/>
      <c r="E989" s="7" t="n"/>
      <c r="F989" s="7" t="n"/>
      <c r="G989" s="7" t="n"/>
      <c r="H989" s="3">
        <f>IFERROR(VLOOKUP(B989,Inventory!$A:$B,2,FALSE)*D989,0)</f>
        <v/>
      </c>
      <c r="I989" s="3">
        <f>IF(C989="",0,IFERROR(VLOOKUP(C989,Settings!$A$2:$F$5,2,FALSE)+(E989*D989+F989)*VLOOKUP(C989,Settings!$A$2:$F$5,3,FALSE)/100+(E989*D989+F989)*VLOOKUP(C989,Settings!$A$2:$F$5,4,FALSE)/100+VLOOKUP(C989,Settings!$A$2:$F$5,5,FALSE)+VLOOKUP(C989,Settings!$A$2:$F$5,6,FALSE),0))</f>
        <v/>
      </c>
      <c r="J989" s="3">
        <f>IF(B989="","",IF(ISNA(MATCH(B989,Inventory!$A$2:$A$201,0)),"Check product",E989*D989+F989-I989-G989-H989))</f>
        <v/>
      </c>
      <c r="K989" s="4">
        <f>IF(OR(B989="",NOT(ISNUMBER(J989)),E989*D989+F989=0),"",J989/(E989*D989+F989))</f>
        <v/>
      </c>
    </row>
    <row r="990">
      <c r="A990" s="8" t="n"/>
      <c r="B990" s="6" t="n"/>
      <c r="C990" s="6" t="n"/>
      <c r="D990" s="6" t="n"/>
      <c r="E990" s="7" t="n"/>
      <c r="F990" s="7" t="n"/>
      <c r="G990" s="7" t="n"/>
      <c r="H990" s="3">
        <f>IFERROR(VLOOKUP(B990,Inventory!$A:$B,2,FALSE)*D990,0)</f>
        <v/>
      </c>
      <c r="I990" s="3">
        <f>IF(C990="",0,IFERROR(VLOOKUP(C990,Settings!$A$2:$F$5,2,FALSE)+(E990*D990+F990)*VLOOKUP(C990,Settings!$A$2:$F$5,3,FALSE)/100+(E990*D990+F990)*VLOOKUP(C990,Settings!$A$2:$F$5,4,FALSE)/100+VLOOKUP(C990,Settings!$A$2:$F$5,5,FALSE)+VLOOKUP(C990,Settings!$A$2:$F$5,6,FALSE),0))</f>
        <v/>
      </c>
      <c r="J990" s="3">
        <f>IF(B990="","",IF(ISNA(MATCH(B990,Inventory!$A$2:$A$201,0)),"Check product",E990*D990+F990-I990-G990-H990))</f>
        <v/>
      </c>
      <c r="K990" s="4">
        <f>IF(OR(B990="",NOT(ISNUMBER(J990)),E990*D990+F990=0),"",J990/(E990*D990+F990))</f>
        <v/>
      </c>
    </row>
    <row r="991">
      <c r="A991" s="8" t="n"/>
      <c r="B991" s="6" t="n"/>
      <c r="C991" s="6" t="n"/>
      <c r="D991" s="6" t="n"/>
      <c r="E991" s="7" t="n"/>
      <c r="F991" s="7" t="n"/>
      <c r="G991" s="7" t="n"/>
      <c r="H991" s="3">
        <f>IFERROR(VLOOKUP(B991,Inventory!$A:$B,2,FALSE)*D991,0)</f>
        <v/>
      </c>
      <c r="I991" s="3">
        <f>IF(C991="",0,IFERROR(VLOOKUP(C991,Settings!$A$2:$F$5,2,FALSE)+(E991*D991+F991)*VLOOKUP(C991,Settings!$A$2:$F$5,3,FALSE)/100+(E991*D991+F991)*VLOOKUP(C991,Settings!$A$2:$F$5,4,FALSE)/100+VLOOKUP(C991,Settings!$A$2:$F$5,5,FALSE)+VLOOKUP(C991,Settings!$A$2:$F$5,6,FALSE),0))</f>
        <v/>
      </c>
      <c r="J991" s="3">
        <f>IF(B991="","",IF(ISNA(MATCH(B991,Inventory!$A$2:$A$201,0)),"Check product",E991*D991+F991-I991-G991-H991))</f>
        <v/>
      </c>
      <c r="K991" s="4">
        <f>IF(OR(B991="",NOT(ISNUMBER(J991)),E991*D991+F991=0),"",J991/(E991*D991+F991))</f>
        <v/>
      </c>
    </row>
    <row r="992">
      <c r="A992" s="8" t="n"/>
      <c r="B992" s="6" t="n"/>
      <c r="C992" s="6" t="n"/>
      <c r="D992" s="6" t="n"/>
      <c r="E992" s="7" t="n"/>
      <c r="F992" s="7" t="n"/>
      <c r="G992" s="7" t="n"/>
      <c r="H992" s="3">
        <f>IFERROR(VLOOKUP(B992,Inventory!$A:$B,2,FALSE)*D992,0)</f>
        <v/>
      </c>
      <c r="I992" s="3">
        <f>IF(C992="",0,IFERROR(VLOOKUP(C992,Settings!$A$2:$F$5,2,FALSE)+(E992*D992+F992)*VLOOKUP(C992,Settings!$A$2:$F$5,3,FALSE)/100+(E992*D992+F992)*VLOOKUP(C992,Settings!$A$2:$F$5,4,FALSE)/100+VLOOKUP(C992,Settings!$A$2:$F$5,5,FALSE)+VLOOKUP(C992,Settings!$A$2:$F$5,6,FALSE),0))</f>
        <v/>
      </c>
      <c r="J992" s="3">
        <f>IF(B992="","",IF(ISNA(MATCH(B992,Inventory!$A$2:$A$201,0)),"Check product",E992*D992+F992-I992-G992-H992))</f>
        <v/>
      </c>
      <c r="K992" s="4">
        <f>IF(OR(B992="",NOT(ISNUMBER(J992)),E992*D992+F992=0),"",J992/(E992*D992+F992))</f>
        <v/>
      </c>
    </row>
    <row r="993">
      <c r="A993" s="8" t="n"/>
      <c r="B993" s="6" t="n"/>
      <c r="C993" s="6" t="n"/>
      <c r="D993" s="6" t="n"/>
      <c r="E993" s="7" t="n"/>
      <c r="F993" s="7" t="n"/>
      <c r="G993" s="7" t="n"/>
      <c r="H993" s="3">
        <f>IFERROR(VLOOKUP(B993,Inventory!$A:$B,2,FALSE)*D993,0)</f>
        <v/>
      </c>
      <c r="I993" s="3">
        <f>IF(C993="",0,IFERROR(VLOOKUP(C993,Settings!$A$2:$F$5,2,FALSE)+(E993*D993+F993)*VLOOKUP(C993,Settings!$A$2:$F$5,3,FALSE)/100+(E993*D993+F993)*VLOOKUP(C993,Settings!$A$2:$F$5,4,FALSE)/100+VLOOKUP(C993,Settings!$A$2:$F$5,5,FALSE)+VLOOKUP(C993,Settings!$A$2:$F$5,6,FALSE),0))</f>
        <v/>
      </c>
      <c r="J993" s="3">
        <f>IF(B993="","",IF(ISNA(MATCH(B993,Inventory!$A$2:$A$201,0)),"Check product",E993*D993+F993-I993-G993-H993))</f>
        <v/>
      </c>
      <c r="K993" s="4">
        <f>IF(OR(B993="",NOT(ISNUMBER(J993)),E993*D993+F993=0),"",J993/(E993*D993+F993))</f>
        <v/>
      </c>
    </row>
    <row r="994">
      <c r="A994" s="8" t="n"/>
      <c r="B994" s="6" t="n"/>
      <c r="C994" s="6" t="n"/>
      <c r="D994" s="6" t="n"/>
      <c r="E994" s="7" t="n"/>
      <c r="F994" s="7" t="n"/>
      <c r="G994" s="7" t="n"/>
      <c r="H994" s="3">
        <f>IFERROR(VLOOKUP(B994,Inventory!$A:$B,2,FALSE)*D994,0)</f>
        <v/>
      </c>
      <c r="I994" s="3">
        <f>IF(C994="",0,IFERROR(VLOOKUP(C994,Settings!$A$2:$F$5,2,FALSE)+(E994*D994+F994)*VLOOKUP(C994,Settings!$A$2:$F$5,3,FALSE)/100+(E994*D994+F994)*VLOOKUP(C994,Settings!$A$2:$F$5,4,FALSE)/100+VLOOKUP(C994,Settings!$A$2:$F$5,5,FALSE)+VLOOKUP(C994,Settings!$A$2:$F$5,6,FALSE),0))</f>
        <v/>
      </c>
      <c r="J994" s="3">
        <f>IF(B994="","",IF(ISNA(MATCH(B994,Inventory!$A$2:$A$201,0)),"Check product",E994*D994+F994-I994-G994-H994))</f>
        <v/>
      </c>
      <c r="K994" s="4">
        <f>IF(OR(B994="",NOT(ISNUMBER(J994)),E994*D994+F994=0),"",J994/(E994*D994+F994))</f>
        <v/>
      </c>
    </row>
    <row r="995">
      <c r="A995" s="8" t="n"/>
      <c r="B995" s="6" t="n"/>
      <c r="C995" s="6" t="n"/>
      <c r="D995" s="6" t="n"/>
      <c r="E995" s="7" t="n"/>
      <c r="F995" s="7" t="n"/>
      <c r="G995" s="7" t="n"/>
      <c r="H995" s="3">
        <f>IFERROR(VLOOKUP(B995,Inventory!$A:$B,2,FALSE)*D995,0)</f>
        <v/>
      </c>
      <c r="I995" s="3">
        <f>IF(C995="",0,IFERROR(VLOOKUP(C995,Settings!$A$2:$F$5,2,FALSE)+(E995*D995+F995)*VLOOKUP(C995,Settings!$A$2:$F$5,3,FALSE)/100+(E995*D995+F995)*VLOOKUP(C995,Settings!$A$2:$F$5,4,FALSE)/100+VLOOKUP(C995,Settings!$A$2:$F$5,5,FALSE)+VLOOKUP(C995,Settings!$A$2:$F$5,6,FALSE),0))</f>
        <v/>
      </c>
      <c r="J995" s="3">
        <f>IF(B995="","",IF(ISNA(MATCH(B995,Inventory!$A$2:$A$201,0)),"Check product",E995*D995+F995-I995-G995-H995))</f>
        <v/>
      </c>
      <c r="K995" s="4">
        <f>IF(OR(B995="",NOT(ISNUMBER(J995)),E995*D995+F995=0),"",J995/(E995*D995+F995))</f>
        <v/>
      </c>
    </row>
    <row r="996">
      <c r="A996" s="8" t="n"/>
      <c r="B996" s="6" t="n"/>
      <c r="C996" s="6" t="n"/>
      <c r="D996" s="6" t="n"/>
      <c r="E996" s="7" t="n"/>
      <c r="F996" s="7" t="n"/>
      <c r="G996" s="7" t="n"/>
      <c r="H996" s="3">
        <f>IFERROR(VLOOKUP(B996,Inventory!$A:$B,2,FALSE)*D996,0)</f>
        <v/>
      </c>
      <c r="I996" s="3">
        <f>IF(C996="",0,IFERROR(VLOOKUP(C996,Settings!$A$2:$F$5,2,FALSE)+(E996*D996+F996)*VLOOKUP(C996,Settings!$A$2:$F$5,3,FALSE)/100+(E996*D996+F996)*VLOOKUP(C996,Settings!$A$2:$F$5,4,FALSE)/100+VLOOKUP(C996,Settings!$A$2:$F$5,5,FALSE)+VLOOKUP(C996,Settings!$A$2:$F$5,6,FALSE),0))</f>
        <v/>
      </c>
      <c r="J996" s="3">
        <f>IF(B996="","",IF(ISNA(MATCH(B996,Inventory!$A$2:$A$201,0)),"Check product",E996*D996+F996-I996-G996-H996))</f>
        <v/>
      </c>
      <c r="K996" s="4">
        <f>IF(OR(B996="",NOT(ISNUMBER(J996)),E996*D996+F996=0),"",J996/(E996*D996+F996))</f>
        <v/>
      </c>
    </row>
    <row r="997">
      <c r="A997" s="8" t="n"/>
      <c r="B997" s="6" t="n"/>
      <c r="C997" s="6" t="n"/>
      <c r="D997" s="6" t="n"/>
      <c r="E997" s="7" t="n"/>
      <c r="F997" s="7" t="n"/>
      <c r="G997" s="7" t="n"/>
      <c r="H997" s="3">
        <f>IFERROR(VLOOKUP(B997,Inventory!$A:$B,2,FALSE)*D997,0)</f>
        <v/>
      </c>
      <c r="I997" s="3">
        <f>IF(C997="",0,IFERROR(VLOOKUP(C997,Settings!$A$2:$F$5,2,FALSE)+(E997*D997+F997)*VLOOKUP(C997,Settings!$A$2:$F$5,3,FALSE)/100+(E997*D997+F997)*VLOOKUP(C997,Settings!$A$2:$F$5,4,FALSE)/100+VLOOKUP(C997,Settings!$A$2:$F$5,5,FALSE)+VLOOKUP(C997,Settings!$A$2:$F$5,6,FALSE),0))</f>
        <v/>
      </c>
      <c r="J997" s="3">
        <f>IF(B997="","",IF(ISNA(MATCH(B997,Inventory!$A$2:$A$201,0)),"Check product",E997*D997+F997-I997-G997-H997))</f>
        <v/>
      </c>
      <c r="K997" s="4">
        <f>IF(OR(B997="",NOT(ISNUMBER(J997)),E997*D997+F997=0),"",J997/(E997*D997+F997))</f>
        <v/>
      </c>
    </row>
    <row r="998">
      <c r="A998" s="8" t="n"/>
      <c r="B998" s="6" t="n"/>
      <c r="C998" s="6" t="n"/>
      <c r="D998" s="6" t="n"/>
      <c r="E998" s="7" t="n"/>
      <c r="F998" s="7" t="n"/>
      <c r="G998" s="7" t="n"/>
      <c r="H998" s="3">
        <f>IFERROR(VLOOKUP(B998,Inventory!$A:$B,2,FALSE)*D998,0)</f>
        <v/>
      </c>
      <c r="I998" s="3">
        <f>IF(C998="",0,IFERROR(VLOOKUP(C998,Settings!$A$2:$F$5,2,FALSE)+(E998*D998+F998)*VLOOKUP(C998,Settings!$A$2:$F$5,3,FALSE)/100+(E998*D998+F998)*VLOOKUP(C998,Settings!$A$2:$F$5,4,FALSE)/100+VLOOKUP(C998,Settings!$A$2:$F$5,5,FALSE)+VLOOKUP(C998,Settings!$A$2:$F$5,6,FALSE),0))</f>
        <v/>
      </c>
      <c r="J998" s="3">
        <f>IF(B998="","",IF(ISNA(MATCH(B998,Inventory!$A$2:$A$201,0)),"Check product",E998*D998+F998-I998-G998-H998))</f>
        <v/>
      </c>
      <c r="K998" s="4">
        <f>IF(OR(B998="",NOT(ISNUMBER(J998)),E998*D998+F998=0),"",J998/(E998*D998+F998))</f>
        <v/>
      </c>
    </row>
    <row r="999">
      <c r="A999" s="8" t="n"/>
      <c r="B999" s="6" t="n"/>
      <c r="C999" s="6" t="n"/>
      <c r="D999" s="6" t="n"/>
      <c r="E999" s="7" t="n"/>
      <c r="F999" s="7" t="n"/>
      <c r="G999" s="7" t="n"/>
      <c r="H999" s="3">
        <f>IFERROR(VLOOKUP(B999,Inventory!$A:$B,2,FALSE)*D999,0)</f>
        <v/>
      </c>
      <c r="I999" s="3">
        <f>IF(C999="",0,IFERROR(VLOOKUP(C999,Settings!$A$2:$F$5,2,FALSE)+(E999*D999+F999)*VLOOKUP(C999,Settings!$A$2:$F$5,3,FALSE)/100+(E999*D999+F999)*VLOOKUP(C999,Settings!$A$2:$F$5,4,FALSE)/100+VLOOKUP(C999,Settings!$A$2:$F$5,5,FALSE)+VLOOKUP(C999,Settings!$A$2:$F$5,6,FALSE),0))</f>
        <v/>
      </c>
      <c r="J999" s="3">
        <f>IF(B999="","",IF(ISNA(MATCH(B999,Inventory!$A$2:$A$201,0)),"Check product",E999*D999+F999-I999-G999-H999))</f>
        <v/>
      </c>
      <c r="K999" s="4">
        <f>IF(OR(B999="",NOT(ISNUMBER(J999)),E999*D999+F999=0),"",J999/(E999*D999+F999))</f>
        <v/>
      </c>
    </row>
    <row r="1000">
      <c r="A1000" s="8" t="n"/>
      <c r="B1000" s="6" t="n"/>
      <c r="C1000" s="6" t="n"/>
      <c r="D1000" s="6" t="n"/>
      <c r="E1000" s="7" t="n"/>
      <c r="F1000" s="7" t="n"/>
      <c r="G1000" s="7" t="n"/>
      <c r="H1000" s="3">
        <f>IFERROR(VLOOKUP(B1000,Inventory!$A:$B,2,FALSE)*D1000,0)</f>
        <v/>
      </c>
      <c r="I1000" s="3">
        <f>IF(C1000="",0,IFERROR(VLOOKUP(C1000,Settings!$A$2:$F$5,2,FALSE)+(E1000*D1000+F1000)*VLOOKUP(C1000,Settings!$A$2:$F$5,3,FALSE)/100+(E1000*D1000+F1000)*VLOOKUP(C1000,Settings!$A$2:$F$5,4,FALSE)/100+VLOOKUP(C1000,Settings!$A$2:$F$5,5,FALSE)+VLOOKUP(C1000,Settings!$A$2:$F$5,6,FALSE),0))</f>
        <v/>
      </c>
      <c r="J1000" s="3">
        <f>IF(B1000="","",IF(ISNA(MATCH(B1000,Inventory!$A$2:$A$201,0)),"Check product",E1000*D1000+F1000-I1000-G1000-H1000))</f>
        <v/>
      </c>
      <c r="K1000" s="4">
        <f>IF(OR(B1000="",NOT(ISNUMBER(J1000)),E1000*D1000+F1000=0),"",J1000/(E1000*D1000+F1000))</f>
        <v/>
      </c>
    </row>
    <row r="1001">
      <c r="A1001" s="8" t="n"/>
      <c r="B1001" s="6" t="n"/>
      <c r="C1001" s="6" t="n"/>
      <c r="D1001" s="6" t="n"/>
      <c r="E1001" s="7" t="n"/>
      <c r="F1001" s="7" t="n"/>
      <c r="G1001" s="7" t="n"/>
      <c r="H1001" s="3">
        <f>IFERROR(VLOOKUP(B1001,Inventory!$A:$B,2,FALSE)*D1001,0)</f>
        <v/>
      </c>
      <c r="I1001" s="3">
        <f>IF(C1001="",0,IFERROR(VLOOKUP(C1001,Settings!$A$2:$F$5,2,FALSE)+(E1001*D1001+F1001)*VLOOKUP(C1001,Settings!$A$2:$F$5,3,FALSE)/100+(E1001*D1001+F1001)*VLOOKUP(C1001,Settings!$A$2:$F$5,4,FALSE)/100+VLOOKUP(C1001,Settings!$A$2:$F$5,5,FALSE)+VLOOKUP(C1001,Settings!$A$2:$F$5,6,FALSE),0))</f>
        <v/>
      </c>
      <c r="J1001" s="3">
        <f>IF(B1001="","",IF(ISNA(MATCH(B1001,Inventory!$A$2:$A$201,0)),"Check product",E1001*D1001+F1001-I1001-G1001-H1001))</f>
        <v/>
      </c>
      <c r="K1001" s="4">
        <f>IF(OR(B1001="",NOT(ISNUMBER(J1001)),E1001*D1001+F1001=0),"",J1001/(E1001*D1001+F1001))</f>
        <v/>
      </c>
    </row>
  </sheetData>
  <dataValidations count="1">
    <dataValidation sqref="C2:C1001" showDropDown="0" showInputMessage="0" showErrorMessage="0" allowBlank="1" type="list">
      <formula1>=Settings!$A$2:$A$5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0" customWidth="1" min="5" max="5"/>
    <col width="16" customWidth="1" min="6" max="6"/>
  </cols>
  <sheetData>
    <row r="1">
      <c r="A1" s="5" t="inlineStr">
        <is>
          <t>Month (yyyy-mm)</t>
        </is>
      </c>
      <c r="B1" s="5" t="inlineStr">
        <is>
          <t>Marketplace</t>
        </is>
      </c>
      <c r="C1" s="5" t="inlineStr">
        <is>
          <t>Ad spend ($)</t>
        </is>
      </c>
      <c r="D1" s="5" t="inlineStr">
        <is>
          <t>Ad revenue ($)</t>
        </is>
      </c>
      <c r="E1" s="5" t="inlineStr">
        <is>
          <t>ROAS</t>
        </is>
      </c>
      <c r="F1" s="5" t="inlineStr">
        <is>
          <t>Verdict</t>
        </is>
      </c>
    </row>
    <row r="2">
      <c r="A2" s="6" t="n"/>
      <c r="B2" s="6" t="n"/>
      <c r="C2" s="7" t="n"/>
      <c r="D2" s="7" t="n"/>
      <c r="E2" s="9">
        <f>IF(C2&gt;0,D2/C2,"")</f>
        <v/>
      </c>
      <c r="F2">
        <f>IF(E2="","",IF(E2&gt;=3,"Scale",IF(E2&gt;=1.5,"Watch","Losing money")))</f>
        <v/>
      </c>
    </row>
    <row r="3">
      <c r="A3" s="6" t="n"/>
      <c r="B3" s="6" t="n"/>
      <c r="C3" s="7" t="n"/>
      <c r="D3" s="7" t="n"/>
      <c r="E3" s="9">
        <f>IF(C3&gt;0,D3/C3,"")</f>
        <v/>
      </c>
      <c r="F3">
        <f>IF(E3="","",IF(E3&gt;=3,"Scale",IF(E3&gt;=1.5,"Watch","Losing money")))</f>
        <v/>
      </c>
    </row>
    <row r="4">
      <c r="A4" s="6" t="n"/>
      <c r="B4" s="6" t="n"/>
      <c r="C4" s="7" t="n"/>
      <c r="D4" s="7" t="n"/>
      <c r="E4" s="9">
        <f>IF(C4&gt;0,D4/C4,"")</f>
        <v/>
      </c>
      <c r="F4">
        <f>IF(E4="","",IF(E4&gt;=3,"Scale",IF(E4&gt;=1.5,"Watch","Losing money")))</f>
        <v/>
      </c>
    </row>
    <row r="5">
      <c r="A5" s="6" t="n"/>
      <c r="B5" s="6" t="n"/>
      <c r="C5" s="7" t="n"/>
      <c r="D5" s="7" t="n"/>
      <c r="E5" s="9">
        <f>IF(C5&gt;0,D5/C5,"")</f>
        <v/>
      </c>
      <c r="F5">
        <f>IF(E5="","",IF(E5&gt;=3,"Scale",IF(E5&gt;=1.5,"Watch","Losing money")))</f>
        <v/>
      </c>
    </row>
    <row r="6">
      <c r="A6" s="6" t="n"/>
      <c r="B6" s="6" t="n"/>
      <c r="C6" s="7" t="n"/>
      <c r="D6" s="7" t="n"/>
      <c r="E6" s="9">
        <f>IF(C6&gt;0,D6/C6,"")</f>
        <v/>
      </c>
      <c r="F6">
        <f>IF(E6="","",IF(E6&gt;=3,"Scale",IF(E6&gt;=1.5,"Watch","Losing money")))</f>
        <v/>
      </c>
    </row>
    <row r="7">
      <c r="A7" s="6" t="n"/>
      <c r="B7" s="6" t="n"/>
      <c r="C7" s="7" t="n"/>
      <c r="D7" s="7" t="n"/>
      <c r="E7" s="9">
        <f>IF(C7&gt;0,D7/C7,"")</f>
        <v/>
      </c>
      <c r="F7">
        <f>IF(E7="","",IF(E7&gt;=3,"Scale",IF(E7&gt;=1.5,"Watch","Losing money")))</f>
        <v/>
      </c>
    </row>
    <row r="8">
      <c r="A8" s="6" t="n"/>
      <c r="B8" s="6" t="n"/>
      <c r="C8" s="7" t="n"/>
      <c r="D8" s="7" t="n"/>
      <c r="E8" s="9">
        <f>IF(C8&gt;0,D8/C8,"")</f>
        <v/>
      </c>
      <c r="F8">
        <f>IF(E8="","",IF(E8&gt;=3,"Scale",IF(E8&gt;=1.5,"Watch","Losing money")))</f>
        <v/>
      </c>
    </row>
    <row r="9">
      <c r="A9" s="6" t="n"/>
      <c r="B9" s="6" t="n"/>
      <c r="C9" s="7" t="n"/>
      <c r="D9" s="7" t="n"/>
      <c r="E9" s="9">
        <f>IF(C9&gt;0,D9/C9,"")</f>
        <v/>
      </c>
      <c r="F9">
        <f>IF(E9="","",IF(E9&gt;=3,"Scale",IF(E9&gt;=1.5,"Watch","Losing money")))</f>
        <v/>
      </c>
    </row>
    <row r="10">
      <c r="A10" s="6" t="n"/>
      <c r="B10" s="6" t="n"/>
      <c r="C10" s="7" t="n"/>
      <c r="D10" s="7" t="n"/>
      <c r="E10" s="9">
        <f>IF(C10&gt;0,D10/C10,"")</f>
        <v/>
      </c>
      <c r="F10">
        <f>IF(E10="","",IF(E10&gt;=3,"Scale",IF(E10&gt;=1.5,"Watch","Losing money")))</f>
        <v/>
      </c>
    </row>
    <row r="11">
      <c r="A11" s="6" t="n"/>
      <c r="B11" s="6" t="n"/>
      <c r="C11" s="7" t="n"/>
      <c r="D11" s="7" t="n"/>
      <c r="E11" s="9">
        <f>IF(C11&gt;0,D11/C11,"")</f>
        <v/>
      </c>
      <c r="F11">
        <f>IF(E11="","",IF(E11&gt;=3,"Scale",IF(E11&gt;=1.5,"Watch","Losing money")))</f>
        <v/>
      </c>
    </row>
    <row r="12">
      <c r="A12" s="6" t="n"/>
      <c r="B12" s="6" t="n"/>
      <c r="C12" s="7" t="n"/>
      <c r="D12" s="7" t="n"/>
      <c r="E12" s="9">
        <f>IF(C12&gt;0,D12/C12,"")</f>
        <v/>
      </c>
      <c r="F12">
        <f>IF(E12="","",IF(E12&gt;=3,"Scale",IF(E12&gt;=1.5,"Watch","Losing money")))</f>
        <v/>
      </c>
    </row>
    <row r="13">
      <c r="A13" s="6" t="n"/>
      <c r="B13" s="6" t="n"/>
      <c r="C13" s="7" t="n"/>
      <c r="D13" s="7" t="n"/>
      <c r="E13" s="9">
        <f>IF(C13&gt;0,D13/C13,"")</f>
        <v/>
      </c>
      <c r="F13">
        <f>IF(E13="","",IF(E13&gt;=3,"Scale",IF(E13&gt;=1.5,"Watch","Losing money")))</f>
        <v/>
      </c>
    </row>
    <row r="14">
      <c r="A14" s="6" t="n"/>
      <c r="B14" s="6" t="n"/>
      <c r="C14" s="7" t="n"/>
      <c r="D14" s="7" t="n"/>
      <c r="E14" s="9">
        <f>IF(C14&gt;0,D14/C14,"")</f>
        <v/>
      </c>
      <c r="F14">
        <f>IF(E14="","",IF(E14&gt;=3,"Scale",IF(E14&gt;=1.5,"Watch","Losing money")))</f>
        <v/>
      </c>
    </row>
    <row r="15">
      <c r="A15" s="6" t="n"/>
      <c r="B15" s="6" t="n"/>
      <c r="C15" s="7" t="n"/>
      <c r="D15" s="7" t="n"/>
      <c r="E15" s="9">
        <f>IF(C15&gt;0,D15/C15,"")</f>
        <v/>
      </c>
      <c r="F15">
        <f>IF(E15="","",IF(E15&gt;=3,"Scale",IF(E15&gt;=1.5,"Watch","Losing money")))</f>
        <v/>
      </c>
    </row>
    <row r="16">
      <c r="A16" s="6" t="n"/>
      <c r="B16" s="6" t="n"/>
      <c r="C16" s="7" t="n"/>
      <c r="D16" s="7" t="n"/>
      <c r="E16" s="9">
        <f>IF(C16&gt;0,D16/C16,"")</f>
        <v/>
      </c>
      <c r="F16">
        <f>IF(E16="","",IF(E16&gt;=3,"Scale",IF(E16&gt;=1.5,"Watch","Losing money")))</f>
        <v/>
      </c>
    </row>
    <row r="17">
      <c r="A17" s="6" t="n"/>
      <c r="B17" s="6" t="n"/>
      <c r="C17" s="7" t="n"/>
      <c r="D17" s="7" t="n"/>
      <c r="E17" s="9">
        <f>IF(C17&gt;0,D17/C17,"")</f>
        <v/>
      </c>
      <c r="F17">
        <f>IF(E17="","",IF(E17&gt;=3,"Scale",IF(E17&gt;=1.5,"Watch","Losing money")))</f>
        <v/>
      </c>
    </row>
    <row r="18">
      <c r="A18" s="6" t="n"/>
      <c r="B18" s="6" t="n"/>
      <c r="C18" s="7" t="n"/>
      <c r="D18" s="7" t="n"/>
      <c r="E18" s="9">
        <f>IF(C18&gt;0,D18/C18,"")</f>
        <v/>
      </c>
      <c r="F18">
        <f>IF(E18="","",IF(E18&gt;=3,"Scale",IF(E18&gt;=1.5,"Watch","Losing money")))</f>
        <v/>
      </c>
    </row>
    <row r="19">
      <c r="A19" s="6" t="n"/>
      <c r="B19" s="6" t="n"/>
      <c r="C19" s="7" t="n"/>
      <c r="D19" s="7" t="n"/>
      <c r="E19" s="9">
        <f>IF(C19&gt;0,D19/C19,"")</f>
        <v/>
      </c>
      <c r="F19">
        <f>IF(E19="","",IF(E19&gt;=3,"Scale",IF(E19&gt;=1.5,"Watch","Losing money")))</f>
        <v/>
      </c>
    </row>
    <row r="20">
      <c r="A20" s="6" t="n"/>
      <c r="B20" s="6" t="n"/>
      <c r="C20" s="7" t="n"/>
      <c r="D20" s="7" t="n"/>
      <c r="E20" s="9">
        <f>IF(C20&gt;0,D20/C20,"")</f>
        <v/>
      </c>
      <c r="F20">
        <f>IF(E20="","",IF(E20&gt;=3,"Scale",IF(E20&gt;=1.5,"Watch","Losing money")))</f>
        <v/>
      </c>
    </row>
    <row r="21">
      <c r="A21" s="6" t="n"/>
      <c r="B21" s="6" t="n"/>
      <c r="C21" s="7" t="n"/>
      <c r="D21" s="7" t="n"/>
      <c r="E21" s="9">
        <f>IF(C21&gt;0,D21/C21,"")</f>
        <v/>
      </c>
      <c r="F21">
        <f>IF(E21="","",IF(E21&gt;=3,"Scale",IF(E21&gt;=1.5,"Watch","Losing money")))</f>
        <v/>
      </c>
    </row>
    <row r="22">
      <c r="A22" s="6" t="n"/>
      <c r="B22" s="6" t="n"/>
      <c r="C22" s="7" t="n"/>
      <c r="D22" s="7" t="n"/>
      <c r="E22" s="9">
        <f>IF(C22&gt;0,D22/C22,"")</f>
        <v/>
      </c>
      <c r="F22">
        <f>IF(E22="","",IF(E22&gt;=3,"Scale",IF(E22&gt;=1.5,"Watch","Losing money")))</f>
        <v/>
      </c>
    </row>
    <row r="23">
      <c r="A23" s="6" t="n"/>
      <c r="B23" s="6" t="n"/>
      <c r="C23" s="7" t="n"/>
      <c r="D23" s="7" t="n"/>
      <c r="E23" s="9">
        <f>IF(C23&gt;0,D23/C23,"")</f>
        <v/>
      </c>
      <c r="F23">
        <f>IF(E23="","",IF(E23&gt;=3,"Scale",IF(E23&gt;=1.5,"Watch","Losing money")))</f>
        <v/>
      </c>
    </row>
    <row r="24">
      <c r="A24" s="6" t="n"/>
      <c r="B24" s="6" t="n"/>
      <c r="C24" s="7" t="n"/>
      <c r="D24" s="7" t="n"/>
      <c r="E24" s="9">
        <f>IF(C24&gt;0,D24/C24,"")</f>
        <v/>
      </c>
      <c r="F24">
        <f>IF(E24="","",IF(E24&gt;=3,"Scale",IF(E24&gt;=1.5,"Watch","Losing money")))</f>
        <v/>
      </c>
    </row>
    <row r="25">
      <c r="A25" s="6" t="n"/>
      <c r="B25" s="6" t="n"/>
      <c r="C25" s="7" t="n"/>
      <c r="D25" s="7" t="n"/>
      <c r="E25" s="9">
        <f>IF(C25&gt;0,D25/C25,"")</f>
        <v/>
      </c>
      <c r="F25">
        <f>IF(E25="","",IF(E25&gt;=3,"Scale",IF(E25&gt;=1.5,"Watch","Losing money")))</f>
        <v/>
      </c>
    </row>
    <row r="26">
      <c r="A26" s="6" t="n"/>
      <c r="B26" s="6" t="n"/>
      <c r="C26" s="7" t="n"/>
      <c r="D26" s="7" t="n"/>
      <c r="E26" s="9">
        <f>IF(C26&gt;0,D26/C26,"")</f>
        <v/>
      </c>
      <c r="F26">
        <f>IF(E26="","",IF(E26&gt;=3,"Scale",IF(E26&gt;=1.5,"Watch","Losing money")))</f>
        <v/>
      </c>
    </row>
    <row r="27">
      <c r="A27" s="6" t="n"/>
      <c r="B27" s="6" t="n"/>
      <c r="C27" s="7" t="n"/>
      <c r="D27" s="7" t="n"/>
      <c r="E27" s="9">
        <f>IF(C27&gt;0,D27/C27,"")</f>
        <v/>
      </c>
      <c r="F27">
        <f>IF(E27="","",IF(E27&gt;=3,"Scale",IF(E27&gt;=1.5,"Watch","Losing money")))</f>
        <v/>
      </c>
    </row>
    <row r="28">
      <c r="A28" s="6" t="n"/>
      <c r="B28" s="6" t="n"/>
      <c r="C28" s="7" t="n"/>
      <c r="D28" s="7" t="n"/>
      <c r="E28" s="9">
        <f>IF(C28&gt;0,D28/C28,"")</f>
        <v/>
      </c>
      <c r="F28">
        <f>IF(E28="","",IF(E28&gt;=3,"Scale",IF(E28&gt;=1.5,"Watch","Losing money")))</f>
        <v/>
      </c>
    </row>
    <row r="29">
      <c r="A29" s="6" t="n"/>
      <c r="B29" s="6" t="n"/>
      <c r="C29" s="7" t="n"/>
      <c r="D29" s="7" t="n"/>
      <c r="E29" s="9">
        <f>IF(C29&gt;0,D29/C29,"")</f>
        <v/>
      </c>
      <c r="F29">
        <f>IF(E29="","",IF(E29&gt;=3,"Scale",IF(E29&gt;=1.5,"Watch","Losing money")))</f>
        <v/>
      </c>
    </row>
    <row r="30">
      <c r="A30" s="6" t="n"/>
      <c r="B30" s="6" t="n"/>
      <c r="C30" s="7" t="n"/>
      <c r="D30" s="7" t="n"/>
      <c r="E30" s="9">
        <f>IF(C30&gt;0,D30/C30,"")</f>
        <v/>
      </c>
      <c r="F30">
        <f>IF(E30="","",IF(E30&gt;=3,"Scale",IF(E30&gt;=1.5,"Watch","Losing money")))</f>
        <v/>
      </c>
    </row>
    <row r="31">
      <c r="A31" s="6" t="n"/>
      <c r="B31" s="6" t="n"/>
      <c r="C31" s="7" t="n"/>
      <c r="D31" s="7" t="n"/>
      <c r="E31" s="9">
        <f>IF(C31&gt;0,D31/C31,"")</f>
        <v/>
      </c>
      <c r="F31">
        <f>IF(E31="","",IF(E31&gt;=3,"Scale",IF(E31&gt;=1.5,"Watch","Losing money")))</f>
        <v/>
      </c>
    </row>
    <row r="32">
      <c r="A32" s="6" t="n"/>
      <c r="B32" s="6" t="n"/>
      <c r="C32" s="7" t="n"/>
      <c r="D32" s="7" t="n"/>
      <c r="E32" s="9">
        <f>IF(C32&gt;0,D32/C32,"")</f>
        <v/>
      </c>
      <c r="F32">
        <f>IF(E32="","",IF(E32&gt;=3,"Scale",IF(E32&gt;=1.5,"Watch","Losing money")))</f>
        <v/>
      </c>
    </row>
    <row r="33">
      <c r="A33" s="6" t="n"/>
      <c r="B33" s="6" t="n"/>
      <c r="C33" s="7" t="n"/>
      <c r="D33" s="7" t="n"/>
      <c r="E33" s="9">
        <f>IF(C33&gt;0,D33/C33,"")</f>
        <v/>
      </c>
      <c r="F33">
        <f>IF(E33="","",IF(E33&gt;=3,"Scale",IF(E33&gt;=1.5,"Watch","Losing money")))</f>
        <v/>
      </c>
    </row>
    <row r="34">
      <c r="A34" s="6" t="n"/>
      <c r="B34" s="6" t="n"/>
      <c r="C34" s="7" t="n"/>
      <c r="D34" s="7" t="n"/>
      <c r="E34" s="9">
        <f>IF(C34&gt;0,D34/C34,"")</f>
        <v/>
      </c>
      <c r="F34">
        <f>IF(E34="","",IF(E34&gt;=3,"Scale",IF(E34&gt;=1.5,"Watch","Losing money")))</f>
        <v/>
      </c>
    </row>
    <row r="35">
      <c r="A35" s="6" t="n"/>
      <c r="B35" s="6" t="n"/>
      <c r="C35" s="7" t="n"/>
      <c r="D35" s="7" t="n"/>
      <c r="E35" s="9">
        <f>IF(C35&gt;0,D35/C35,"")</f>
        <v/>
      </c>
      <c r="F35">
        <f>IF(E35="","",IF(E35&gt;=3,"Scale",IF(E35&gt;=1.5,"Watch","Losing money")))</f>
        <v/>
      </c>
    </row>
    <row r="36">
      <c r="A36" s="6" t="n"/>
      <c r="B36" s="6" t="n"/>
      <c r="C36" s="7" t="n"/>
      <c r="D36" s="7" t="n"/>
      <c r="E36" s="9">
        <f>IF(C36&gt;0,D36/C36,"")</f>
        <v/>
      </c>
      <c r="F36">
        <f>IF(E36="","",IF(E36&gt;=3,"Scale",IF(E36&gt;=1.5,"Watch","Losing money")))</f>
        <v/>
      </c>
    </row>
    <row r="37">
      <c r="A37" s="6" t="n"/>
      <c r="B37" s="6" t="n"/>
      <c r="C37" s="7" t="n"/>
      <c r="D37" s="7" t="n"/>
      <c r="E37" s="9">
        <f>IF(C37&gt;0,D37/C37,"")</f>
        <v/>
      </c>
      <c r="F37">
        <f>IF(E37="","",IF(E37&gt;=3,"Scale",IF(E37&gt;=1.5,"Watch","Losing money")))</f>
        <v/>
      </c>
    </row>
    <row r="38">
      <c r="A38" s="6" t="n"/>
      <c r="B38" s="6" t="n"/>
      <c r="C38" s="7" t="n"/>
      <c r="D38" s="7" t="n"/>
      <c r="E38" s="9">
        <f>IF(C38&gt;0,D38/C38,"")</f>
        <v/>
      </c>
      <c r="F38">
        <f>IF(E38="","",IF(E38&gt;=3,"Scale",IF(E38&gt;=1.5,"Watch","Losing money")))</f>
        <v/>
      </c>
    </row>
    <row r="39">
      <c r="A39" s="6" t="n"/>
      <c r="B39" s="6" t="n"/>
      <c r="C39" s="7" t="n"/>
      <c r="D39" s="7" t="n"/>
      <c r="E39" s="9">
        <f>IF(C39&gt;0,D39/C39,"")</f>
        <v/>
      </c>
      <c r="F39">
        <f>IF(E39="","",IF(E39&gt;=3,"Scale",IF(E39&gt;=1.5,"Watch","Losing money")))</f>
        <v/>
      </c>
    </row>
    <row r="40">
      <c r="A40" s="6" t="n"/>
      <c r="B40" s="6" t="n"/>
      <c r="C40" s="7" t="n"/>
      <c r="D40" s="7" t="n"/>
      <c r="E40" s="9">
        <f>IF(C40&gt;0,D40/C40,"")</f>
        <v/>
      </c>
      <c r="F40">
        <f>IF(E40="","",IF(E40&gt;=3,"Scale",IF(E40&gt;=1.5,"Watch","Losing money")))</f>
        <v/>
      </c>
    </row>
    <row r="41">
      <c r="A41" s="6" t="n"/>
      <c r="B41" s="6" t="n"/>
      <c r="C41" s="7" t="n"/>
      <c r="D41" s="7" t="n"/>
      <c r="E41" s="9">
        <f>IF(C41&gt;0,D41/C41,"")</f>
        <v/>
      </c>
      <c r="F41">
        <f>IF(E41="","",IF(E41&gt;=3,"Scale",IF(E41&gt;=1.5,"Watch","Losing money")))</f>
        <v/>
      </c>
    </row>
    <row r="42">
      <c r="A42" s="6" t="n"/>
      <c r="B42" s="6" t="n"/>
      <c r="C42" s="7" t="n"/>
      <c r="D42" s="7" t="n"/>
      <c r="E42" s="9">
        <f>IF(C42&gt;0,D42/C42,"")</f>
        <v/>
      </c>
      <c r="F42">
        <f>IF(E42="","",IF(E42&gt;=3,"Scale",IF(E42&gt;=1.5,"Watch","Losing money")))</f>
        <v/>
      </c>
    </row>
    <row r="43">
      <c r="A43" s="6" t="n"/>
      <c r="B43" s="6" t="n"/>
      <c r="C43" s="7" t="n"/>
      <c r="D43" s="7" t="n"/>
      <c r="E43" s="9">
        <f>IF(C43&gt;0,D43/C43,"")</f>
        <v/>
      </c>
      <c r="F43">
        <f>IF(E43="","",IF(E43&gt;=3,"Scale",IF(E43&gt;=1.5,"Watch","Losing money")))</f>
        <v/>
      </c>
    </row>
    <row r="44">
      <c r="A44" s="6" t="n"/>
      <c r="B44" s="6" t="n"/>
      <c r="C44" s="7" t="n"/>
      <c r="D44" s="7" t="n"/>
      <c r="E44" s="9">
        <f>IF(C44&gt;0,D44/C44,"")</f>
        <v/>
      </c>
      <c r="F44">
        <f>IF(E44="","",IF(E44&gt;=3,"Scale",IF(E44&gt;=1.5,"Watch","Losing money")))</f>
        <v/>
      </c>
    </row>
    <row r="45">
      <c r="A45" s="6" t="n"/>
      <c r="B45" s="6" t="n"/>
      <c r="C45" s="7" t="n"/>
      <c r="D45" s="7" t="n"/>
      <c r="E45" s="9">
        <f>IF(C45&gt;0,D45/C45,"")</f>
        <v/>
      </c>
      <c r="F45">
        <f>IF(E45="","",IF(E45&gt;=3,"Scale",IF(E45&gt;=1.5,"Watch","Losing money")))</f>
        <v/>
      </c>
    </row>
    <row r="46">
      <c r="A46" s="6" t="n"/>
      <c r="B46" s="6" t="n"/>
      <c r="C46" s="7" t="n"/>
      <c r="D46" s="7" t="n"/>
      <c r="E46" s="9">
        <f>IF(C46&gt;0,D46/C46,"")</f>
        <v/>
      </c>
      <c r="F46">
        <f>IF(E46="","",IF(E46&gt;=3,"Scale",IF(E46&gt;=1.5,"Watch","Losing money")))</f>
        <v/>
      </c>
    </row>
    <row r="47">
      <c r="A47" s="6" t="n"/>
      <c r="B47" s="6" t="n"/>
      <c r="C47" s="7" t="n"/>
      <c r="D47" s="7" t="n"/>
      <c r="E47" s="9">
        <f>IF(C47&gt;0,D47/C47,"")</f>
        <v/>
      </c>
      <c r="F47">
        <f>IF(E47="","",IF(E47&gt;=3,"Scale",IF(E47&gt;=1.5,"Watch","Losing money")))</f>
        <v/>
      </c>
    </row>
    <row r="48">
      <c r="A48" s="6" t="n"/>
      <c r="B48" s="6" t="n"/>
      <c r="C48" s="7" t="n"/>
      <c r="D48" s="7" t="n"/>
      <c r="E48" s="9">
        <f>IF(C48&gt;0,D48/C48,"")</f>
        <v/>
      </c>
      <c r="F48">
        <f>IF(E48="","",IF(E48&gt;=3,"Scale",IF(E48&gt;=1.5,"Watch","Losing money")))</f>
        <v/>
      </c>
    </row>
    <row r="49">
      <c r="A49" s="6" t="n"/>
      <c r="B49" s="6" t="n"/>
      <c r="C49" s="7" t="n"/>
      <c r="D49" s="7" t="n"/>
      <c r="E49" s="9">
        <f>IF(C49&gt;0,D49/C49,"")</f>
        <v/>
      </c>
      <c r="F49">
        <f>IF(E49="","",IF(E49&gt;=3,"Scale",IF(E49&gt;=1.5,"Watch","Losing money")))</f>
        <v/>
      </c>
    </row>
    <row r="50">
      <c r="A50" s="6" t="n"/>
      <c r="B50" s="6" t="n"/>
      <c r="C50" s="7" t="n"/>
      <c r="D50" s="7" t="n"/>
      <c r="E50" s="9">
        <f>IF(C50&gt;0,D50/C50,"")</f>
        <v/>
      </c>
      <c r="F50">
        <f>IF(E50="","",IF(E50&gt;=3,"Scale",IF(E50&gt;=1.5,"Watch","Losing money")))</f>
        <v/>
      </c>
    </row>
    <row r="51">
      <c r="A51" s="6" t="n"/>
      <c r="B51" s="6" t="n"/>
      <c r="C51" s="7" t="n"/>
      <c r="D51" s="7" t="n"/>
      <c r="E51" s="9">
        <f>IF(C51&gt;0,D51/C51,"")</f>
        <v/>
      </c>
      <c r="F51">
        <f>IF(E51="","",IF(E51&gt;=3,"Scale",IF(E51&gt;=1.5,"Watch","Losing money")))</f>
        <v/>
      </c>
    </row>
    <row r="52">
      <c r="A52" s="6" t="n"/>
      <c r="B52" s="6" t="n"/>
      <c r="C52" s="7" t="n"/>
      <c r="D52" s="7" t="n"/>
      <c r="E52" s="9">
        <f>IF(C52&gt;0,D52/C52,"")</f>
        <v/>
      </c>
      <c r="F52">
        <f>IF(E52="","",IF(E52&gt;=3,"Scale",IF(E52&gt;=1.5,"Watch","Losing money")))</f>
        <v/>
      </c>
    </row>
    <row r="53">
      <c r="A53" s="6" t="n"/>
      <c r="B53" s="6" t="n"/>
      <c r="C53" s="7" t="n"/>
      <c r="D53" s="7" t="n"/>
      <c r="E53" s="9">
        <f>IF(C53&gt;0,D53/C53,"")</f>
        <v/>
      </c>
      <c r="F53">
        <f>IF(E53="","",IF(E53&gt;=3,"Scale",IF(E53&gt;=1.5,"Watch","Losing money")))</f>
        <v/>
      </c>
    </row>
    <row r="54">
      <c r="A54" s="6" t="n"/>
      <c r="B54" s="6" t="n"/>
      <c r="C54" s="7" t="n"/>
      <c r="D54" s="7" t="n"/>
      <c r="E54" s="9">
        <f>IF(C54&gt;0,D54/C54,"")</f>
        <v/>
      </c>
      <c r="F54">
        <f>IF(E54="","",IF(E54&gt;=3,"Scale",IF(E54&gt;=1.5,"Watch","Losing money")))</f>
        <v/>
      </c>
    </row>
    <row r="55">
      <c r="A55" s="6" t="n"/>
      <c r="B55" s="6" t="n"/>
      <c r="C55" s="7" t="n"/>
      <c r="D55" s="7" t="n"/>
      <c r="E55" s="9">
        <f>IF(C55&gt;0,D55/C55,"")</f>
        <v/>
      </c>
      <c r="F55">
        <f>IF(E55="","",IF(E55&gt;=3,"Scale",IF(E55&gt;=1.5,"Watch","Losing money")))</f>
        <v/>
      </c>
    </row>
    <row r="56">
      <c r="A56" s="6" t="n"/>
      <c r="B56" s="6" t="n"/>
      <c r="C56" s="7" t="n"/>
      <c r="D56" s="7" t="n"/>
      <c r="E56" s="9">
        <f>IF(C56&gt;0,D56/C56,"")</f>
        <v/>
      </c>
      <c r="F56">
        <f>IF(E56="","",IF(E56&gt;=3,"Scale",IF(E56&gt;=1.5,"Watch","Losing money")))</f>
        <v/>
      </c>
    </row>
    <row r="57">
      <c r="A57" s="6" t="n"/>
      <c r="B57" s="6" t="n"/>
      <c r="C57" s="7" t="n"/>
      <c r="D57" s="7" t="n"/>
      <c r="E57" s="9">
        <f>IF(C57&gt;0,D57/C57,"")</f>
        <v/>
      </c>
      <c r="F57">
        <f>IF(E57="","",IF(E57&gt;=3,"Scale",IF(E57&gt;=1.5,"Watch","Losing money")))</f>
        <v/>
      </c>
    </row>
    <row r="58">
      <c r="A58" s="6" t="n"/>
      <c r="B58" s="6" t="n"/>
      <c r="C58" s="7" t="n"/>
      <c r="D58" s="7" t="n"/>
      <c r="E58" s="9">
        <f>IF(C58&gt;0,D58/C58,"")</f>
        <v/>
      </c>
      <c r="F58">
        <f>IF(E58="","",IF(E58&gt;=3,"Scale",IF(E58&gt;=1.5,"Watch","Losing money")))</f>
        <v/>
      </c>
    </row>
    <row r="59">
      <c r="A59" s="6" t="n"/>
      <c r="B59" s="6" t="n"/>
      <c r="C59" s="7" t="n"/>
      <c r="D59" s="7" t="n"/>
      <c r="E59" s="9">
        <f>IF(C59&gt;0,D59/C59,"")</f>
        <v/>
      </c>
      <c r="F59">
        <f>IF(E59="","",IF(E59&gt;=3,"Scale",IF(E59&gt;=1.5,"Watch","Losing money")))</f>
        <v/>
      </c>
    </row>
    <row r="60">
      <c r="A60" s="6" t="n"/>
      <c r="B60" s="6" t="n"/>
      <c r="C60" s="7" t="n"/>
      <c r="D60" s="7" t="n"/>
      <c r="E60" s="9">
        <f>IF(C60&gt;0,D60/C60,"")</f>
        <v/>
      </c>
      <c r="F60">
        <f>IF(E60="","",IF(E60&gt;=3,"Scale",IF(E60&gt;=1.5,"Watch","Losing money")))</f>
        <v/>
      </c>
    </row>
    <row r="61">
      <c r="A61" s="6" t="n"/>
      <c r="B61" s="6" t="n"/>
      <c r="C61" s="7" t="n"/>
      <c r="D61" s="7" t="n"/>
      <c r="E61" s="9">
        <f>IF(C61&gt;0,D61/C61,"")</f>
        <v/>
      </c>
      <c r="F61">
        <f>IF(E61="","",IF(E61&gt;=3,"Scale",IF(E61&gt;=1.5,"Watch","Losing money")))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2026-10-19T14:40:08Z</dcterms:created>
  <dcterms:modified xsi:type="dcterms:W3CDTF">2026-10-19T14:40:08Z</dcterms:modified>
</cp:coreProperties>
</file>